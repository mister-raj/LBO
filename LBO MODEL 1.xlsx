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esktop\Models\LBO model\"/>
    </mc:Choice>
  </mc:AlternateContent>
  <xr:revisionPtr revIDLastSave="0" documentId="13_ncr:1_{E1399C97-1695-46C3-BE60-13364532EDFB}" xr6:coauthVersionLast="47" xr6:coauthVersionMax="47" xr10:uidLastSave="{00000000-0000-0000-0000-000000000000}"/>
  <bookViews>
    <workbookView xWindow="-108" yWindow="-108" windowWidth="23256" windowHeight="12456" xr2:uid="{76AD1614-9F94-4577-9132-D08ACD28FA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1" l="1"/>
  <c r="J9" i="1"/>
  <c r="J7" i="1"/>
  <c r="L47" i="1"/>
  <c r="M47" i="1"/>
  <c r="N47" i="1"/>
  <c r="O47" i="1"/>
  <c r="P47" i="1"/>
  <c r="K47" i="1"/>
  <c r="L46" i="1"/>
  <c r="M46" i="1"/>
  <c r="N46" i="1"/>
  <c r="O46" i="1"/>
  <c r="P46" i="1"/>
  <c r="K46" i="1"/>
  <c r="M43" i="1"/>
  <c r="N43" i="1"/>
  <c r="O43" i="1"/>
  <c r="P43" i="1"/>
  <c r="L43" i="1"/>
  <c r="K44" i="1"/>
  <c r="L44" i="1" s="1"/>
  <c r="K43" i="1"/>
  <c r="L41" i="1"/>
  <c r="M41" i="1"/>
  <c r="N41" i="1"/>
  <c r="O41" i="1"/>
  <c r="P41" i="1"/>
  <c r="K41" i="1"/>
  <c r="L40" i="1"/>
  <c r="M40" i="1"/>
  <c r="N40" i="1"/>
  <c r="O40" i="1"/>
  <c r="P40" i="1"/>
  <c r="K40" i="1"/>
  <c r="M37" i="1"/>
  <c r="N37" i="1"/>
  <c r="O37" i="1"/>
  <c r="P37" i="1"/>
  <c r="L37" i="1"/>
  <c r="K38" i="1"/>
  <c r="L38" i="1" s="1"/>
  <c r="K37" i="1"/>
  <c r="L35" i="1"/>
  <c r="M35" i="1"/>
  <c r="N35" i="1"/>
  <c r="O35" i="1"/>
  <c r="P35" i="1"/>
  <c r="K35" i="1"/>
  <c r="L34" i="1"/>
  <c r="M34" i="1"/>
  <c r="N34" i="1"/>
  <c r="O34" i="1"/>
  <c r="P34" i="1"/>
  <c r="K34" i="1"/>
  <c r="M31" i="1"/>
  <c r="N31" i="1"/>
  <c r="O31" i="1"/>
  <c r="P31" i="1"/>
  <c r="L31" i="1"/>
  <c r="M32" i="1"/>
  <c r="N32" i="1" s="1"/>
  <c r="O32" i="1" s="1"/>
  <c r="P32" i="1" s="1"/>
  <c r="L32" i="1"/>
  <c r="K32" i="1"/>
  <c r="K31" i="1"/>
  <c r="M28" i="1"/>
  <c r="N28" i="1" s="1"/>
  <c r="O28" i="1" s="1"/>
  <c r="P28" i="1" s="1"/>
  <c r="L28" i="1"/>
  <c r="N29" i="1"/>
  <c r="O29" i="1" s="1"/>
  <c r="P29" i="1" s="1"/>
  <c r="M29" i="1"/>
  <c r="L29" i="1"/>
  <c r="K28" i="1"/>
  <c r="M26" i="1"/>
  <c r="N26" i="1" s="1"/>
  <c r="O26" i="1" s="1"/>
  <c r="P26" i="1" s="1"/>
  <c r="L26" i="1"/>
  <c r="M44" i="1" l="1"/>
  <c r="M38" i="1"/>
  <c r="N44" i="1" l="1"/>
  <c r="N38" i="1"/>
  <c r="O44" i="1" l="1"/>
  <c r="O38" i="1"/>
  <c r="P44" i="1" l="1"/>
  <c r="P38" i="1"/>
</calcChain>
</file>

<file path=xl/sharedStrings.xml><?xml version="1.0" encoding="utf-8"?>
<sst xmlns="http://schemas.openxmlformats.org/spreadsheetml/2006/main" count="59" uniqueCount="40">
  <si>
    <t>LBO</t>
  </si>
  <si>
    <t>ASSUMPTIONS</t>
  </si>
  <si>
    <t>FINANCIALS</t>
  </si>
  <si>
    <t>LAST 12 MONTHS</t>
  </si>
  <si>
    <t>REVENUE</t>
  </si>
  <si>
    <t>COGS</t>
  </si>
  <si>
    <t>OPEX</t>
  </si>
  <si>
    <t>D&amp;A</t>
  </si>
  <si>
    <t>NWC</t>
  </si>
  <si>
    <t>CAPEX</t>
  </si>
  <si>
    <t>OPERATION ASSUMPTIONS</t>
  </si>
  <si>
    <t>REVENUE GROWTH RATE</t>
  </si>
  <si>
    <t>TAX RATE</t>
  </si>
  <si>
    <t>LTM EBITDA</t>
  </si>
  <si>
    <t>ENTRY MULTIPLE</t>
  </si>
  <si>
    <t>ENTERPRISE VALUE</t>
  </si>
  <si>
    <t>EXISTING NET DEBT</t>
  </si>
  <si>
    <t>EQUITY VALUE</t>
  </si>
  <si>
    <t>FEE &amp; EXPENSES</t>
  </si>
  <si>
    <t>EXIT MULTIPLE</t>
  </si>
  <si>
    <t>CAPITAL STRUCTURE</t>
  </si>
  <si>
    <t>REVOLVER</t>
  </si>
  <si>
    <t>Credit card for companies (payment to be made withing a year )</t>
  </si>
  <si>
    <t>BANK LOAN</t>
  </si>
  <si>
    <t>SENIOR NOTES</t>
  </si>
  <si>
    <t>Often called as term loans</t>
  </si>
  <si>
    <t>AMOUNT</t>
  </si>
  <si>
    <t>INTEREST</t>
  </si>
  <si>
    <t>SOURCES &amp; USES</t>
  </si>
  <si>
    <t>OPERATING MODEL</t>
  </si>
  <si>
    <t>% growth</t>
  </si>
  <si>
    <t>% of revenue</t>
  </si>
  <si>
    <t>GROSS PROFIT</t>
  </si>
  <si>
    <t>EBITDA</t>
  </si>
  <si>
    <t>EBIT</t>
  </si>
  <si>
    <t>EBT</t>
  </si>
  <si>
    <t xml:space="preserve">TAX </t>
  </si>
  <si>
    <t>PAT</t>
  </si>
  <si>
    <t>% RATE</t>
  </si>
  <si>
    <t>*When linking something in the same sheet then the linked value should be purple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</si>
</sst>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[Red]#,##0"/>
    <numFmt numFmtId="167" formatCode="0.0\X"/>
    <numFmt numFmtId="168" formatCode="0.0%"/>
    <numFmt numFmtId="169" formatCode="&quot;Year&quot;\ 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CC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theme="0" tint="-0.149998474074526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0" fillId="0" borderId="1" xfId="0" applyBorder="1"/>
    <xf numFmtId="0" fontId="3" fillId="0" borderId="1" xfId="0" applyFont="1" applyBorder="1"/>
    <xf numFmtId="0" fontId="0" fillId="2" borderId="0" xfId="0" applyFill="1"/>
    <xf numFmtId="0" fontId="2" fillId="2" borderId="0" xfId="0" applyFont="1" applyFill="1"/>
    <xf numFmtId="0" fontId="2" fillId="3" borderId="0" xfId="0" applyFont="1" applyFill="1"/>
    <xf numFmtId="0" fontId="0" fillId="3" borderId="0" xfId="0" applyFill="1"/>
    <xf numFmtId="0" fontId="3" fillId="0" borderId="0" xfId="0" applyFont="1"/>
    <xf numFmtId="0" fontId="0" fillId="0" borderId="0" xfId="0" applyFont="1"/>
    <xf numFmtId="0" fontId="4" fillId="0" borderId="0" xfId="0" applyFont="1"/>
    <xf numFmtId="164" fontId="5" fillId="4" borderId="2" xfId="0" applyNumberFormat="1" applyFont="1" applyFill="1" applyBorder="1"/>
    <xf numFmtId="164" fontId="0" fillId="0" borderId="0" xfId="0" applyNumberFormat="1"/>
    <xf numFmtId="9" fontId="5" fillId="4" borderId="2" xfId="0" applyNumberFormat="1" applyFont="1" applyFill="1" applyBorder="1"/>
    <xf numFmtId="0" fontId="0" fillId="0" borderId="3" xfId="0" applyBorder="1"/>
    <xf numFmtId="167" fontId="5" fillId="4" borderId="2" xfId="0" applyNumberFormat="1" applyFont="1" applyFill="1" applyBorder="1"/>
    <xf numFmtId="168" fontId="5" fillId="4" borderId="2" xfId="0" applyNumberFormat="1" applyFont="1" applyFill="1" applyBorder="1"/>
    <xf numFmtId="9" fontId="5" fillId="0" borderId="0" xfId="0" applyNumberFormat="1" applyFont="1" applyFill="1" applyBorder="1"/>
    <xf numFmtId="0" fontId="6" fillId="0" borderId="0" xfId="0" applyFont="1" applyAlignment="1">
      <alignment horizontal="right"/>
    </xf>
    <xf numFmtId="169" fontId="2" fillId="3" borderId="0" xfId="0" applyNumberFormat="1" applyFont="1" applyFill="1"/>
    <xf numFmtId="0" fontId="7" fillId="0" borderId="0" xfId="0" applyFont="1"/>
    <xf numFmtId="9" fontId="8" fillId="0" borderId="0" xfId="0" applyNumberFormat="1" applyFont="1"/>
    <xf numFmtId="164" fontId="8" fillId="0" borderId="0" xfId="0" applyNumberFormat="1" applyFont="1"/>
    <xf numFmtId="1" fontId="0" fillId="0" borderId="0" xfId="0" applyNumberForma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9B4DD-0DD6-4FA2-8ED9-0DE6AD13100B}">
  <dimension ref="B2:T59"/>
  <sheetViews>
    <sheetView showGridLines="0" tabSelected="1" topLeftCell="A7" zoomScale="145" zoomScaleNormal="145" workbookViewId="0">
      <selection activeCell="O14" sqref="O14"/>
    </sheetView>
  </sheetViews>
  <sheetFormatPr defaultRowHeight="14.4" x14ac:dyDescent="0.3"/>
  <cols>
    <col min="1" max="1" width="2.5546875" customWidth="1"/>
  </cols>
  <sheetData>
    <row r="2" spans="2:20" s="1" customFormat="1" ht="15" thickBot="1" x14ac:dyDescent="0.35">
      <c r="B2" s="2" t="s">
        <v>0</v>
      </c>
    </row>
    <row r="4" spans="2:20" x14ac:dyDescent="0.3">
      <c r="B4" s="4" t="s">
        <v>1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6" spans="2:20" x14ac:dyDescent="0.3">
      <c r="B6" s="5" t="s">
        <v>2</v>
      </c>
      <c r="C6" s="6"/>
      <c r="D6" s="6"/>
      <c r="E6" s="6"/>
      <c r="G6" s="5" t="s">
        <v>2</v>
      </c>
      <c r="H6" s="6"/>
      <c r="I6" s="6"/>
      <c r="J6" s="6"/>
      <c r="L6" s="5" t="s">
        <v>20</v>
      </c>
      <c r="M6" s="6"/>
      <c r="N6" s="6"/>
      <c r="O6" s="5" t="s">
        <v>26</v>
      </c>
      <c r="P6" s="5" t="s">
        <v>27</v>
      </c>
    </row>
    <row r="7" spans="2:20" x14ac:dyDescent="0.3">
      <c r="B7" s="9" t="s">
        <v>3</v>
      </c>
      <c r="G7" s="8" t="s">
        <v>13</v>
      </c>
      <c r="J7" s="11">
        <f>K40</f>
        <v>600</v>
      </c>
      <c r="L7" s="8" t="s">
        <v>21</v>
      </c>
      <c r="O7" s="10">
        <v>200</v>
      </c>
      <c r="P7" s="15">
        <v>7.4999999999999997E-2</v>
      </c>
      <c r="R7" s="8" t="s">
        <v>21</v>
      </c>
      <c r="T7" t="s">
        <v>22</v>
      </c>
    </row>
    <row r="8" spans="2:20" ht="15" thickBot="1" x14ac:dyDescent="0.35">
      <c r="B8" s="8" t="s">
        <v>4</v>
      </c>
      <c r="E8" s="10">
        <v>2000</v>
      </c>
      <c r="G8" s="13" t="s">
        <v>14</v>
      </c>
      <c r="H8" s="13"/>
      <c r="I8" s="13"/>
      <c r="J8" s="14">
        <v>10</v>
      </c>
      <c r="L8" t="s">
        <v>23</v>
      </c>
      <c r="O8" s="10">
        <v>2500</v>
      </c>
      <c r="P8" s="15">
        <v>9.5000000000000001E-2</v>
      </c>
      <c r="R8" t="s">
        <v>23</v>
      </c>
      <c r="T8" t="s">
        <v>25</v>
      </c>
    </row>
    <row r="9" spans="2:20" x14ac:dyDescent="0.3">
      <c r="B9" s="8" t="s">
        <v>5</v>
      </c>
      <c r="E9" s="10">
        <v>900</v>
      </c>
      <c r="G9" s="7" t="s">
        <v>15</v>
      </c>
      <c r="J9" s="7">
        <f>J7*J8</f>
        <v>6000</v>
      </c>
      <c r="L9" t="s">
        <v>24</v>
      </c>
      <c r="O9" s="10">
        <v>1500</v>
      </c>
      <c r="P9" s="15">
        <v>0.125</v>
      </c>
      <c r="R9" t="s">
        <v>24</v>
      </c>
    </row>
    <row r="10" spans="2:20" ht="15" thickBot="1" x14ac:dyDescent="0.35">
      <c r="B10" s="8" t="s">
        <v>6</v>
      </c>
      <c r="E10" s="10">
        <v>500</v>
      </c>
      <c r="G10" s="13" t="s">
        <v>16</v>
      </c>
      <c r="H10" s="13"/>
      <c r="I10" s="13"/>
      <c r="J10" s="13">
        <v>1000</v>
      </c>
    </row>
    <row r="11" spans="2:20" x14ac:dyDescent="0.3">
      <c r="B11" s="8" t="s">
        <v>7</v>
      </c>
      <c r="E11" s="10">
        <v>100</v>
      </c>
      <c r="G11" s="7" t="s">
        <v>17</v>
      </c>
      <c r="J11" s="7">
        <f>J9-J10</f>
        <v>5000</v>
      </c>
    </row>
    <row r="12" spans="2:20" x14ac:dyDescent="0.3">
      <c r="B12" s="8" t="s">
        <v>8</v>
      </c>
      <c r="E12" s="10">
        <v>200</v>
      </c>
    </row>
    <row r="13" spans="2:20" x14ac:dyDescent="0.3">
      <c r="B13" s="8" t="s">
        <v>9</v>
      </c>
      <c r="E13" s="10">
        <v>140</v>
      </c>
      <c r="G13" s="7" t="s">
        <v>18</v>
      </c>
      <c r="J13" s="10">
        <v>140</v>
      </c>
    </row>
    <row r="15" spans="2:20" x14ac:dyDescent="0.3">
      <c r="B15" s="9" t="s">
        <v>10</v>
      </c>
      <c r="G15" s="5" t="s">
        <v>2</v>
      </c>
      <c r="H15" s="6"/>
      <c r="I15" s="6"/>
      <c r="J15" s="6"/>
    </row>
    <row r="16" spans="2:20" x14ac:dyDescent="0.3">
      <c r="B16" t="s">
        <v>11</v>
      </c>
      <c r="E16" s="12">
        <v>0.1</v>
      </c>
      <c r="G16" s="8" t="s">
        <v>19</v>
      </c>
      <c r="J16" s="14">
        <v>10</v>
      </c>
    </row>
    <row r="17" spans="2:16" x14ac:dyDescent="0.3">
      <c r="B17" t="s">
        <v>12</v>
      </c>
      <c r="E17" s="12">
        <v>0.21</v>
      </c>
    </row>
    <row r="18" spans="2:16" x14ac:dyDescent="0.3">
      <c r="E18" s="16"/>
    </row>
    <row r="20" spans="2:16" x14ac:dyDescent="0.3">
      <c r="B20" s="4" t="s">
        <v>28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4" spans="2:16" x14ac:dyDescent="0.3">
      <c r="B24" s="4" t="s">
        <v>2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2:16" x14ac:dyDescent="0.3">
      <c r="H25" s="19" t="s">
        <v>39</v>
      </c>
    </row>
    <row r="26" spans="2:16" x14ac:dyDescent="0.3">
      <c r="B26" s="5" t="s">
        <v>29</v>
      </c>
      <c r="C26" s="6"/>
      <c r="D26" s="6"/>
      <c r="E26" s="6"/>
      <c r="F26" s="6"/>
      <c r="G26" s="6"/>
      <c r="H26" s="6"/>
      <c r="I26" s="6"/>
      <c r="J26" s="6"/>
      <c r="K26" s="18">
        <v>0</v>
      </c>
      <c r="L26" s="18">
        <f>K26+1</f>
        <v>1</v>
      </c>
      <c r="M26" s="18">
        <f t="shared" ref="M26:P26" si="0">L26+1</f>
        <v>2</v>
      </c>
      <c r="N26" s="18">
        <f t="shared" si="0"/>
        <v>3</v>
      </c>
      <c r="O26" s="18">
        <f t="shared" si="0"/>
        <v>4</v>
      </c>
      <c r="P26" s="18">
        <f t="shared" si="0"/>
        <v>5</v>
      </c>
    </row>
    <row r="28" spans="2:16" x14ac:dyDescent="0.3">
      <c r="B28" t="s">
        <v>4</v>
      </c>
      <c r="K28" s="21">
        <f>E8</f>
        <v>2000</v>
      </c>
      <c r="L28" s="22">
        <f>K28*(1+L29)</f>
        <v>2200</v>
      </c>
      <c r="M28" s="22">
        <f t="shared" ref="M28:P28" si="1">L28*(1+M29)</f>
        <v>2420</v>
      </c>
      <c r="N28" s="22">
        <f t="shared" si="1"/>
        <v>2662</v>
      </c>
      <c r="O28" s="22">
        <f t="shared" si="1"/>
        <v>2928.2000000000003</v>
      </c>
      <c r="P28" s="22">
        <f t="shared" si="1"/>
        <v>3221.0200000000004</v>
      </c>
    </row>
    <row r="29" spans="2:16" x14ac:dyDescent="0.3">
      <c r="B29" s="17" t="s">
        <v>30</v>
      </c>
      <c r="L29" s="20">
        <f>E16</f>
        <v>0.1</v>
      </c>
      <c r="M29" s="20">
        <f>L29</f>
        <v>0.1</v>
      </c>
      <c r="N29" s="20">
        <f t="shared" ref="N29:P29" si="2">M29</f>
        <v>0.1</v>
      </c>
      <c r="O29" s="20">
        <f t="shared" si="2"/>
        <v>0.1</v>
      </c>
      <c r="P29" s="20">
        <f t="shared" si="2"/>
        <v>0.1</v>
      </c>
    </row>
    <row r="31" spans="2:16" x14ac:dyDescent="0.3">
      <c r="B31" t="s">
        <v>5</v>
      </c>
      <c r="K31" s="21">
        <f>E9</f>
        <v>900</v>
      </c>
      <c r="L31" s="22">
        <f>L28*L32</f>
        <v>990</v>
      </c>
      <c r="M31" s="22">
        <f t="shared" ref="M31:P31" si="3">M28*M32</f>
        <v>1089</v>
      </c>
      <c r="N31" s="22">
        <f t="shared" si="3"/>
        <v>1197.9000000000001</v>
      </c>
      <c r="O31" s="22">
        <f t="shared" si="3"/>
        <v>1317.69</v>
      </c>
      <c r="P31" s="22">
        <f t="shared" si="3"/>
        <v>1449.4590000000003</v>
      </c>
    </row>
    <row r="32" spans="2:16" x14ac:dyDescent="0.3">
      <c r="B32" s="17" t="s">
        <v>31</v>
      </c>
      <c r="K32" s="23">
        <f>K31/K28</f>
        <v>0.45</v>
      </c>
      <c r="L32" s="20">
        <f>K32</f>
        <v>0.45</v>
      </c>
      <c r="M32" s="20">
        <f t="shared" ref="M32:P32" si="4">L32</f>
        <v>0.45</v>
      </c>
      <c r="N32" s="20">
        <f t="shared" si="4"/>
        <v>0.45</v>
      </c>
      <c r="O32" s="20">
        <f t="shared" si="4"/>
        <v>0.45</v>
      </c>
      <c r="P32" s="20">
        <f t="shared" si="4"/>
        <v>0.45</v>
      </c>
    </row>
    <row r="34" spans="2:16" x14ac:dyDescent="0.3">
      <c r="B34" t="s">
        <v>32</v>
      </c>
      <c r="K34" s="11">
        <f>K28-K31</f>
        <v>1100</v>
      </c>
      <c r="L34" s="11">
        <f t="shared" ref="L34:P34" si="5">L28-L31</f>
        <v>1210</v>
      </c>
      <c r="M34" s="11">
        <f t="shared" si="5"/>
        <v>1331</v>
      </c>
      <c r="N34" s="11">
        <f t="shared" si="5"/>
        <v>1464.1</v>
      </c>
      <c r="O34" s="11">
        <f t="shared" si="5"/>
        <v>1610.5100000000002</v>
      </c>
      <c r="P34" s="11">
        <f t="shared" si="5"/>
        <v>1771.5610000000001</v>
      </c>
    </row>
    <row r="35" spans="2:16" x14ac:dyDescent="0.3">
      <c r="B35" s="17" t="s">
        <v>31</v>
      </c>
      <c r="K35" s="23">
        <f>K34/K28</f>
        <v>0.55000000000000004</v>
      </c>
      <c r="L35" s="23">
        <f t="shared" ref="L35:P35" si="6">L34/L28</f>
        <v>0.55000000000000004</v>
      </c>
      <c r="M35" s="23">
        <f t="shared" si="6"/>
        <v>0.55000000000000004</v>
      </c>
      <c r="N35" s="23">
        <f t="shared" si="6"/>
        <v>0.54999999999999993</v>
      </c>
      <c r="O35" s="23">
        <f t="shared" si="6"/>
        <v>0.55000000000000004</v>
      </c>
      <c r="P35" s="23">
        <f t="shared" si="6"/>
        <v>0.54999999999999993</v>
      </c>
    </row>
    <row r="37" spans="2:16" x14ac:dyDescent="0.3">
      <c r="B37" t="s">
        <v>6</v>
      </c>
      <c r="K37" s="21">
        <f>E10</f>
        <v>500</v>
      </c>
      <c r="L37" s="22">
        <f>L28*L38</f>
        <v>550</v>
      </c>
      <c r="M37" s="22">
        <f t="shared" ref="M37:P37" si="7">M28*M38</f>
        <v>605</v>
      </c>
      <c r="N37" s="22">
        <f t="shared" si="7"/>
        <v>665.5</v>
      </c>
      <c r="O37" s="22">
        <f t="shared" si="7"/>
        <v>732.05000000000007</v>
      </c>
      <c r="P37" s="22">
        <f t="shared" si="7"/>
        <v>805.25500000000011</v>
      </c>
    </row>
    <row r="38" spans="2:16" x14ac:dyDescent="0.3">
      <c r="B38" s="17" t="s">
        <v>31</v>
      </c>
      <c r="K38" s="23">
        <f>K37/K28</f>
        <v>0.25</v>
      </c>
      <c r="L38" s="20">
        <f>K38</f>
        <v>0.25</v>
      </c>
      <c r="M38" s="20">
        <f t="shared" ref="M38:P38" si="8">L38</f>
        <v>0.25</v>
      </c>
      <c r="N38" s="20">
        <f t="shared" si="8"/>
        <v>0.25</v>
      </c>
      <c r="O38" s="20">
        <f t="shared" si="8"/>
        <v>0.25</v>
      </c>
      <c r="P38" s="20">
        <f t="shared" si="8"/>
        <v>0.25</v>
      </c>
    </row>
    <row r="40" spans="2:16" x14ac:dyDescent="0.3">
      <c r="B40" t="s">
        <v>33</v>
      </c>
      <c r="K40" s="11">
        <f>K34-K37</f>
        <v>600</v>
      </c>
      <c r="L40" s="11">
        <f t="shared" ref="L40:P40" si="9">L34-L37</f>
        <v>660</v>
      </c>
      <c r="M40" s="11">
        <f t="shared" si="9"/>
        <v>726</v>
      </c>
      <c r="N40" s="11">
        <f t="shared" si="9"/>
        <v>798.59999999999991</v>
      </c>
      <c r="O40" s="11">
        <f t="shared" si="9"/>
        <v>878.46000000000015</v>
      </c>
      <c r="P40" s="11">
        <f t="shared" si="9"/>
        <v>966.30600000000004</v>
      </c>
    </row>
    <row r="41" spans="2:16" x14ac:dyDescent="0.3">
      <c r="B41" s="17" t="s">
        <v>31</v>
      </c>
      <c r="K41" s="23">
        <f>K40/K28</f>
        <v>0.3</v>
      </c>
      <c r="L41" s="23">
        <f t="shared" ref="L41:P41" si="10">L40/L28</f>
        <v>0.3</v>
      </c>
      <c r="M41" s="23">
        <f t="shared" si="10"/>
        <v>0.3</v>
      </c>
      <c r="N41" s="23">
        <f t="shared" si="10"/>
        <v>0.3</v>
      </c>
      <c r="O41" s="23">
        <f t="shared" si="10"/>
        <v>0.30000000000000004</v>
      </c>
      <c r="P41" s="23">
        <f t="shared" si="10"/>
        <v>0.3</v>
      </c>
    </row>
    <row r="43" spans="2:16" x14ac:dyDescent="0.3">
      <c r="B43" t="s">
        <v>7</v>
      </c>
      <c r="K43" s="21">
        <f>E11</f>
        <v>100</v>
      </c>
      <c r="L43" s="22">
        <f>L28*L44</f>
        <v>110</v>
      </c>
      <c r="M43" s="22">
        <f t="shared" ref="M43:P43" si="11">M28*M44</f>
        <v>121</v>
      </c>
      <c r="N43" s="22">
        <f t="shared" si="11"/>
        <v>133.1</v>
      </c>
      <c r="O43" s="22">
        <f t="shared" si="11"/>
        <v>146.41000000000003</v>
      </c>
      <c r="P43" s="22">
        <f t="shared" si="11"/>
        <v>161.05100000000004</v>
      </c>
    </row>
    <row r="44" spans="2:16" x14ac:dyDescent="0.3">
      <c r="B44" s="17" t="s">
        <v>31</v>
      </c>
      <c r="K44" s="23">
        <f>K43/K28</f>
        <v>0.05</v>
      </c>
      <c r="L44" s="20">
        <f>K44</f>
        <v>0.05</v>
      </c>
      <c r="M44" s="20">
        <f t="shared" ref="M44:P44" si="12">L44</f>
        <v>0.05</v>
      </c>
      <c r="N44" s="20">
        <f t="shared" si="12"/>
        <v>0.05</v>
      </c>
      <c r="O44" s="20">
        <f t="shared" si="12"/>
        <v>0.05</v>
      </c>
      <c r="P44" s="20">
        <f t="shared" si="12"/>
        <v>0.05</v>
      </c>
    </row>
    <row r="46" spans="2:16" x14ac:dyDescent="0.3">
      <c r="B46" t="s">
        <v>34</v>
      </c>
      <c r="K46" s="11">
        <f>K40-K43</f>
        <v>500</v>
      </c>
      <c r="L46" s="11">
        <f t="shared" ref="L46:P46" si="13">L40-L43</f>
        <v>550</v>
      </c>
      <c r="M46" s="11">
        <f t="shared" si="13"/>
        <v>605</v>
      </c>
      <c r="N46" s="11">
        <f t="shared" si="13"/>
        <v>665.49999999999989</v>
      </c>
      <c r="O46" s="11">
        <f t="shared" si="13"/>
        <v>732.05000000000018</v>
      </c>
      <c r="P46" s="11">
        <f t="shared" si="13"/>
        <v>805.255</v>
      </c>
    </row>
    <row r="47" spans="2:16" x14ac:dyDescent="0.3">
      <c r="B47" s="17" t="s">
        <v>31</v>
      </c>
      <c r="K47" s="23">
        <f>K46/K28</f>
        <v>0.25</v>
      </c>
      <c r="L47" s="23">
        <f t="shared" ref="L47:P47" si="14">L46/L28</f>
        <v>0.25</v>
      </c>
      <c r="M47" s="23">
        <f t="shared" si="14"/>
        <v>0.25</v>
      </c>
      <c r="N47" s="23">
        <f t="shared" si="14"/>
        <v>0.24999999999999994</v>
      </c>
      <c r="O47" s="23">
        <f t="shared" si="14"/>
        <v>0.25000000000000006</v>
      </c>
      <c r="P47" s="23">
        <f t="shared" si="14"/>
        <v>0.24999999999999997</v>
      </c>
    </row>
    <row r="49" spans="2:2" x14ac:dyDescent="0.3">
      <c r="B49" t="s">
        <v>27</v>
      </c>
    </row>
    <row r="50" spans="2:2" x14ac:dyDescent="0.3">
      <c r="B50" s="17" t="s">
        <v>31</v>
      </c>
    </row>
    <row r="52" spans="2:2" x14ac:dyDescent="0.3">
      <c r="B52" t="s">
        <v>35</v>
      </c>
    </row>
    <row r="53" spans="2:2" x14ac:dyDescent="0.3">
      <c r="B53" s="17" t="s">
        <v>31</v>
      </c>
    </row>
    <row r="55" spans="2:2" x14ac:dyDescent="0.3">
      <c r="B55" t="s">
        <v>36</v>
      </c>
    </row>
    <row r="56" spans="2:2" x14ac:dyDescent="0.3">
      <c r="B56" s="17" t="s">
        <v>38</v>
      </c>
    </row>
    <row r="58" spans="2:2" x14ac:dyDescent="0.3">
      <c r="B58" t="s">
        <v>37</v>
      </c>
    </row>
    <row r="59" spans="2:2" x14ac:dyDescent="0.3">
      <c r="B59" s="17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Raj</dc:creator>
  <cp:lastModifiedBy>Shivam Raj</cp:lastModifiedBy>
  <dcterms:created xsi:type="dcterms:W3CDTF">2026-01-11T07:46:14Z</dcterms:created>
  <dcterms:modified xsi:type="dcterms:W3CDTF">2026-01-11T17:49:25Z</dcterms:modified>
</cp:coreProperties>
</file>