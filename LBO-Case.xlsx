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EE5C1D5-2174-4A07-A30E-AF571D9066C6}" xr6:coauthVersionLast="47" xr6:coauthVersionMax="47" xr10:uidLastSave="{00000000-0000-0000-0000-000000000000}"/>
  <bookViews>
    <workbookView xWindow="-108" yWindow="-108" windowWidth="23256" windowHeight="12456" xr2:uid="{DC80D954-FE5B-486F-B4C0-8158D897E91C}"/>
  </bookViews>
  <sheets>
    <sheet name="Case" sheetId="2" r:id="rId1"/>
    <sheet name="LB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" i="1" l="1"/>
  <c r="L102" i="1" s="1"/>
  <c r="L103" i="1" s="1"/>
  <c r="K99" i="1"/>
  <c r="L96" i="1" s="1"/>
  <c r="L97" i="1" s="1"/>
  <c r="K93" i="1"/>
  <c r="L88" i="1"/>
  <c r="M88" i="1" s="1"/>
  <c r="N88" i="1" s="1"/>
  <c r="O88" i="1" s="1"/>
  <c r="P88" i="1" s="1"/>
  <c r="L68" i="1"/>
  <c r="M68" i="1"/>
  <c r="N68" i="1" s="1"/>
  <c r="O68" i="1" s="1"/>
  <c r="P68" i="1" s="1"/>
  <c r="L63" i="1"/>
  <c r="M63" i="1" s="1"/>
  <c r="N63" i="1" s="1"/>
  <c r="O63" i="1" s="1"/>
  <c r="P63" i="1" s="1"/>
  <c r="L79" i="1"/>
  <c r="M79" i="1" s="1"/>
  <c r="N79" i="1" s="1"/>
  <c r="O79" i="1" s="1"/>
  <c r="P79" i="1" s="1"/>
  <c r="K76" i="1"/>
  <c r="K72" i="1"/>
  <c r="N26" i="1"/>
  <c r="N23" i="1"/>
  <c r="E25" i="1"/>
  <c r="E24" i="1"/>
  <c r="E23" i="1"/>
  <c r="B25" i="1"/>
  <c r="B24" i="1"/>
  <c r="B23" i="1"/>
  <c r="K51" i="1"/>
  <c r="K69" i="1" s="1"/>
  <c r="K45" i="1"/>
  <c r="K39" i="1"/>
  <c r="L37" i="1"/>
  <c r="M37" i="1" s="1"/>
  <c r="N37" i="1" s="1"/>
  <c r="O37" i="1" s="1"/>
  <c r="P37" i="1" s="1"/>
  <c r="K36" i="1"/>
  <c r="L35" i="1"/>
  <c r="M35" i="1" s="1"/>
  <c r="N35" i="1" s="1"/>
  <c r="O35" i="1" s="1"/>
  <c r="P35" i="1" s="1"/>
  <c r="J16" i="1"/>
  <c r="P116" i="1" s="1"/>
  <c r="K111" i="1" l="1"/>
  <c r="K73" i="1"/>
  <c r="L73" i="1" s="1"/>
  <c r="M73" i="1" s="1"/>
  <c r="N73" i="1" s="1"/>
  <c r="O73" i="1" s="1"/>
  <c r="P73" i="1" s="1"/>
  <c r="K77" i="1"/>
  <c r="L77" i="1" s="1"/>
  <c r="M77" i="1" s="1"/>
  <c r="N77" i="1" s="1"/>
  <c r="O77" i="1" s="1"/>
  <c r="P77" i="1" s="1"/>
  <c r="L90" i="1"/>
  <c r="E26" i="1"/>
  <c r="K46" i="1"/>
  <c r="L46" i="1" s="1"/>
  <c r="M46" i="1" s="1"/>
  <c r="K42" i="1"/>
  <c r="K48" i="1" s="1"/>
  <c r="K40" i="1"/>
  <c r="L40" i="1" s="1"/>
  <c r="M40" i="1" s="1"/>
  <c r="L36" i="1"/>
  <c r="K52" i="1"/>
  <c r="L52" i="1" l="1"/>
  <c r="L70" i="1" s="1"/>
  <c r="K70" i="1"/>
  <c r="L108" i="1"/>
  <c r="L91" i="1"/>
  <c r="L109" i="1" s="1"/>
  <c r="L57" i="1" s="1"/>
  <c r="M36" i="1"/>
  <c r="M45" i="1" s="1"/>
  <c r="L76" i="1"/>
  <c r="L82" i="1" s="1"/>
  <c r="L72" i="1"/>
  <c r="L74" i="1" s="1"/>
  <c r="L83" i="1" s="1"/>
  <c r="K43" i="1"/>
  <c r="L39" i="1"/>
  <c r="L42" i="1" s="1"/>
  <c r="L45" i="1"/>
  <c r="K49" i="1"/>
  <c r="K54" i="1"/>
  <c r="N46" i="1"/>
  <c r="N40" i="1"/>
  <c r="M39" i="1"/>
  <c r="M42" i="1" s="1"/>
  <c r="L48" i="1" l="1"/>
  <c r="L59" i="1" s="1"/>
  <c r="L62" i="1" s="1"/>
  <c r="L65" i="1" s="1"/>
  <c r="L51" i="1"/>
  <c r="L69" i="1" s="1"/>
  <c r="L81" i="1" s="1"/>
  <c r="M52" i="1"/>
  <c r="M70" i="1" s="1"/>
  <c r="L43" i="1"/>
  <c r="N36" i="1"/>
  <c r="M76" i="1"/>
  <c r="M82" i="1" s="1"/>
  <c r="M72" i="1"/>
  <c r="M74" i="1" s="1"/>
  <c r="M83" i="1" s="1"/>
  <c r="K55" i="1"/>
  <c r="J7" i="1"/>
  <c r="M43" i="1"/>
  <c r="M48" i="1"/>
  <c r="O46" i="1"/>
  <c r="O40" i="1"/>
  <c r="M51" i="1" l="1"/>
  <c r="M69" i="1" s="1"/>
  <c r="M81" i="1" s="1"/>
  <c r="N52" i="1"/>
  <c r="N70" i="1" s="1"/>
  <c r="L54" i="1"/>
  <c r="L55" i="1" s="1"/>
  <c r="L60" i="1"/>
  <c r="O23" i="1"/>
  <c r="O26" i="1"/>
  <c r="O36" i="1"/>
  <c r="O45" i="1" s="1"/>
  <c r="N72" i="1"/>
  <c r="N74" i="1" s="1"/>
  <c r="N83" i="1" s="1"/>
  <c r="N76" i="1"/>
  <c r="N82" i="1" s="1"/>
  <c r="N39" i="1"/>
  <c r="N42" i="1" s="1"/>
  <c r="N43" i="1" s="1"/>
  <c r="L66" i="1"/>
  <c r="L80" i="1"/>
  <c r="L84" i="1" s="1"/>
  <c r="L92" i="1" s="1"/>
  <c r="L93" i="1" s="1"/>
  <c r="N45" i="1"/>
  <c r="J9" i="1"/>
  <c r="J11" i="1" s="1"/>
  <c r="N24" i="1" s="1"/>
  <c r="F23" i="1"/>
  <c r="F25" i="1"/>
  <c r="F24" i="1"/>
  <c r="P46" i="1"/>
  <c r="P40" i="1"/>
  <c r="O39" i="1" l="1"/>
  <c r="O42" i="1" s="1"/>
  <c r="O43" i="1" s="1"/>
  <c r="M54" i="1"/>
  <c r="M55" i="1" s="1"/>
  <c r="N51" i="1"/>
  <c r="N69" i="1" s="1"/>
  <c r="N81" i="1" s="1"/>
  <c r="O52" i="1"/>
  <c r="O70" i="1" s="1"/>
  <c r="N48" i="1"/>
  <c r="L98" i="1"/>
  <c r="L99" i="1" s="1"/>
  <c r="M96" i="1" s="1"/>
  <c r="M97" i="1" s="1"/>
  <c r="P36" i="1"/>
  <c r="P45" i="1" s="1"/>
  <c r="O72" i="1"/>
  <c r="O74" i="1" s="1"/>
  <c r="O83" i="1" s="1"/>
  <c r="O76" i="1"/>
  <c r="O82" i="1" s="1"/>
  <c r="N30" i="1"/>
  <c r="O24" i="1"/>
  <c r="O30" i="1" s="1"/>
  <c r="M90" i="1"/>
  <c r="F26" i="1"/>
  <c r="P52" i="1"/>
  <c r="O51" i="1"/>
  <c r="O69" i="1" s="1"/>
  <c r="O81" i="1" s="1"/>
  <c r="O48" i="1" l="1"/>
  <c r="O54" i="1" s="1"/>
  <c r="O55" i="1" s="1"/>
  <c r="N54" i="1"/>
  <c r="N55" i="1" s="1"/>
  <c r="P51" i="1"/>
  <c r="P69" i="1" s="1"/>
  <c r="P81" i="1" s="1"/>
  <c r="P70" i="1"/>
  <c r="P72" i="1"/>
  <c r="P74" i="1" s="1"/>
  <c r="P83" i="1" s="1"/>
  <c r="P76" i="1"/>
  <c r="P82" i="1" s="1"/>
  <c r="L104" i="1"/>
  <c r="L105" i="1" s="1"/>
  <c r="M102" i="1" s="1"/>
  <c r="M103" i="1" s="1"/>
  <c r="P39" i="1"/>
  <c r="P42" i="1" s="1"/>
  <c r="P24" i="1"/>
  <c r="P26" i="1"/>
  <c r="E30" i="1"/>
  <c r="P23" i="1"/>
  <c r="M91" i="1"/>
  <c r="P43" i="1" l="1"/>
  <c r="P48" i="1"/>
  <c r="P54" i="1" s="1"/>
  <c r="L110" i="1"/>
  <c r="M109" i="1"/>
  <c r="M57" i="1" s="1"/>
  <c r="M59" i="1" s="1"/>
  <c r="M60" i="1" s="1"/>
  <c r="M108" i="1"/>
  <c r="L111" i="1"/>
  <c r="P30" i="1"/>
  <c r="G25" i="1"/>
  <c r="F30" i="1"/>
  <c r="G30" i="1"/>
  <c r="E28" i="1"/>
  <c r="G24" i="1"/>
  <c r="G23" i="1"/>
  <c r="G26" i="1"/>
  <c r="M62" i="1" l="1"/>
  <c r="M65" i="1" s="1"/>
  <c r="M66" i="1" s="1"/>
  <c r="P55" i="1"/>
  <c r="P115" i="1"/>
  <c r="P117" i="1" s="1"/>
  <c r="P121" i="1"/>
  <c r="G28" i="1"/>
  <c r="F28" i="1"/>
  <c r="M80" i="1" l="1"/>
  <c r="M84" i="1" s="1"/>
  <c r="M92" i="1" s="1"/>
  <c r="M98" i="1" s="1"/>
  <c r="M99" i="1" s="1"/>
  <c r="N96" i="1" s="1"/>
  <c r="N97" i="1" s="1"/>
  <c r="M93" i="1" l="1"/>
  <c r="N90" i="1" s="1"/>
  <c r="N91" i="1" s="1"/>
  <c r="M104" i="1"/>
  <c r="M105" i="1" l="1"/>
  <c r="M110" i="1"/>
  <c r="N102" i="1" l="1"/>
  <c r="M111" i="1"/>
  <c r="N103" i="1" l="1"/>
  <c r="N109" i="1" s="1"/>
  <c r="N57" i="1" s="1"/>
  <c r="N59" i="1" s="1"/>
  <c r="N108" i="1"/>
  <c r="N60" i="1" l="1"/>
  <c r="N62" i="1"/>
  <c r="N65" i="1" s="1"/>
  <c r="N66" i="1" l="1"/>
  <c r="N80" i="1"/>
  <c r="N84" i="1" s="1"/>
  <c r="N92" i="1" l="1"/>
  <c r="N98" i="1" s="1"/>
  <c r="N99" i="1" s="1"/>
  <c r="O96" i="1" s="1"/>
  <c r="O97" i="1" s="1"/>
  <c r="N104" i="1" l="1"/>
  <c r="N105" i="1" s="1"/>
  <c r="O102" i="1" s="1"/>
  <c r="O103" i="1" s="1"/>
  <c r="N93" i="1"/>
  <c r="N110" i="1" l="1"/>
  <c r="O90" i="1"/>
  <c r="N111" i="1"/>
  <c r="O108" i="1" l="1"/>
  <c r="O91" i="1"/>
  <c r="O109" i="1" s="1"/>
  <c r="O57" i="1" s="1"/>
  <c r="O59" i="1" s="1"/>
  <c r="O60" i="1" l="1"/>
  <c r="O62" i="1"/>
  <c r="O65" i="1" s="1"/>
  <c r="O80" i="1" l="1"/>
  <c r="O84" i="1" s="1"/>
  <c r="O66" i="1"/>
  <c r="O92" i="1" l="1"/>
  <c r="O98" i="1" s="1"/>
  <c r="O99" i="1" s="1"/>
  <c r="P96" i="1" s="1"/>
  <c r="P97" i="1" s="1"/>
  <c r="O104" i="1" l="1"/>
  <c r="O105" i="1" s="1"/>
  <c r="P102" i="1" s="1"/>
  <c r="P103" i="1" s="1"/>
  <c r="O93" i="1"/>
  <c r="O110" i="1" l="1"/>
  <c r="P90" i="1"/>
  <c r="O111" i="1"/>
  <c r="P108" i="1" l="1"/>
  <c r="P91" i="1"/>
  <c r="P109" i="1" s="1"/>
  <c r="P57" i="1" s="1"/>
  <c r="P59" i="1" s="1"/>
  <c r="P62" i="1" l="1"/>
  <c r="P65" i="1" s="1"/>
  <c r="P60" i="1"/>
  <c r="P80" i="1" l="1"/>
  <c r="P84" i="1" s="1"/>
  <c r="P66" i="1"/>
  <c r="P92" i="1" l="1"/>
  <c r="P98" i="1" s="1"/>
  <c r="P99" i="1" l="1"/>
  <c r="P104" i="1"/>
  <c r="P105" i="1" s="1"/>
  <c r="P93" i="1"/>
  <c r="P111" i="1" l="1"/>
  <c r="P118" i="1" s="1"/>
  <c r="P119" i="1" s="1"/>
  <c r="P123" i="1" s="1"/>
  <c r="P12" i="1" s="1"/>
  <c r="P110" i="1"/>
  <c r="P124" i="1" l="1"/>
  <c r="P13" i="1" s="1"/>
  <c r="L49" i="1" l="1"/>
  <c r="M49" i="1"/>
  <c r="N49" i="1"/>
  <c r="O49" i="1"/>
  <c r="P49" i="1"/>
</calcChain>
</file>

<file path=xl/sharedStrings.xml><?xml version="1.0" encoding="utf-8"?>
<sst xmlns="http://schemas.openxmlformats.org/spreadsheetml/2006/main" count="135" uniqueCount="87">
  <si>
    <t>LBO</t>
  </si>
  <si>
    <t>Assumptions</t>
  </si>
  <si>
    <t>Financials</t>
  </si>
  <si>
    <t>LTM</t>
  </si>
  <si>
    <t>Revenue</t>
  </si>
  <si>
    <t>COGS</t>
  </si>
  <si>
    <t>OpEx</t>
  </si>
  <si>
    <t>D&amp;A</t>
  </si>
  <si>
    <t>NWC</t>
  </si>
  <si>
    <t>CapEx</t>
  </si>
  <si>
    <t>Operating Assumptions</t>
  </si>
  <si>
    <t>Revenue Growth</t>
  </si>
  <si>
    <t>Tax Rate</t>
  </si>
  <si>
    <t>Entry</t>
  </si>
  <si>
    <t>LTM EBITDA</t>
  </si>
  <si>
    <t>Enterprise Value</t>
  </si>
  <si>
    <t>Existing Net Debt</t>
  </si>
  <si>
    <t>Equity Value</t>
  </si>
  <si>
    <t>Fees &amp; Expenses</t>
  </si>
  <si>
    <t>Exit</t>
  </si>
  <si>
    <t>Entry Multiple</t>
  </si>
  <si>
    <t>Exit Multiple</t>
  </si>
  <si>
    <t>Capital Structure</t>
  </si>
  <si>
    <t>Revolver</t>
  </si>
  <si>
    <t>Bank Loan</t>
  </si>
  <si>
    <t>Senior Notes</t>
  </si>
  <si>
    <t>Amount</t>
  </si>
  <si>
    <t>Interest</t>
  </si>
  <si>
    <t>Sources &amp; Uses</t>
  </si>
  <si>
    <t>Operating Model</t>
  </si>
  <si>
    <t xml:space="preserve">   % growth</t>
  </si>
  <si>
    <t xml:space="preserve">   % of sales</t>
  </si>
  <si>
    <t>Gross Profit</t>
  </si>
  <si>
    <t>EBIT</t>
  </si>
  <si>
    <t>EBITDA</t>
  </si>
  <si>
    <t>EBT</t>
  </si>
  <si>
    <t>Taxes</t>
  </si>
  <si>
    <t xml:space="preserve">   % tax rate</t>
  </si>
  <si>
    <t>Net Income</t>
  </si>
  <si>
    <t>Uses</t>
  </si>
  <si>
    <t>Sources</t>
  </si>
  <si>
    <t>xEBITDA</t>
  </si>
  <si>
    <t>% Capital</t>
  </si>
  <si>
    <t>Total</t>
  </si>
  <si>
    <t>Sponsor Equity</t>
  </si>
  <si>
    <t>Total Sources</t>
  </si>
  <si>
    <t>Debt Refinancing</t>
  </si>
  <si>
    <t>Equity Payment</t>
  </si>
  <si>
    <t>Total Uses</t>
  </si>
  <si>
    <t>Cash Flow Items</t>
  </si>
  <si>
    <t>Net Working Capital</t>
  </si>
  <si>
    <t>Change in Net Working Capital</t>
  </si>
  <si>
    <t>Leveraged Free Cash Flow</t>
  </si>
  <si>
    <t>Change in NWC</t>
  </si>
  <si>
    <t>Debt Schedule</t>
  </si>
  <si>
    <t>Beginning Balance</t>
  </si>
  <si>
    <t>Paydown</t>
  </si>
  <si>
    <t>Ending Balance</t>
  </si>
  <si>
    <t>Bank Debt</t>
  </si>
  <si>
    <t>Total Debt</t>
  </si>
  <si>
    <t>IRR</t>
  </si>
  <si>
    <t>LTM EBITDA at Exit</t>
  </si>
  <si>
    <t>Net Debt</t>
  </si>
  <si>
    <t>Sponsor Equity Value</t>
  </si>
  <si>
    <t>Sponsor Equity at Entry</t>
  </si>
  <si>
    <t>MOIC</t>
  </si>
  <si>
    <t>IRR (For Reference)</t>
  </si>
  <si>
    <t>You are a private equity fund evaluating a potential leveraged buyout of an Indian hospital platform.</t>
  </si>
  <si>
    <t>In the last 12 months, the company generated:</t>
  </si>
  <si>
    <t>• ₹8,500 crore in Revenue</t>
  </si>
  <si>
    <t>• ₹5,100 crore in Operating Costs</t>
  </si>
  <si>
    <t>• ₹1,700 crore in SG&amp;A / Operating Expenses</t>
  </si>
  <si>
    <t>• ₹450 crore in Depreciation &amp; Amortization</t>
  </si>
  <si>
    <t>• ₹600 crore in Net Working Capital</t>
  </si>
  <si>
    <t>• ₹750 crore in Capital Expenditure</t>
  </si>
  <si>
    <r>
      <t xml:space="preserve">The fund assumes it can grow revenue at </t>
    </r>
    <r>
      <rPr>
        <b/>
        <sz val="11"/>
        <color theme="1"/>
        <rFont val="Calibri"/>
        <family val="2"/>
        <scheme val="minor"/>
      </rPr>
      <t>11% CAGR</t>
    </r>
    <r>
      <rPr>
        <sz val="11"/>
        <color theme="1"/>
        <rFont val="Calibri"/>
        <family val="2"/>
        <scheme val="minor"/>
      </rPr>
      <t xml:space="preserve"> over the next 5 years.</t>
    </r>
  </si>
  <si>
    <t>Operating margins and cost structures are expected to remain stable.</t>
  </si>
  <si>
    <r>
      <t xml:space="preserve">Corporate tax rate is assumed at </t>
    </r>
    <r>
      <rPr>
        <b/>
        <sz val="11"/>
        <color theme="1"/>
        <rFont val="Calibri"/>
        <family val="2"/>
        <scheme val="minor"/>
      </rPr>
      <t>25%</t>
    </r>
    <r>
      <rPr>
        <sz val="11"/>
        <color theme="1"/>
        <rFont val="Calibri"/>
        <family val="2"/>
        <scheme val="minor"/>
      </rPr>
      <t>.</t>
    </r>
  </si>
  <si>
    <r>
      <t xml:space="preserve">The fund expects to acquire and exit the business at an </t>
    </r>
    <r>
      <rPr>
        <b/>
        <sz val="11"/>
        <color theme="1"/>
        <rFont val="Calibri"/>
        <family val="2"/>
        <scheme val="minor"/>
      </rPr>
      <t>18.0× EBITDA multiple</t>
    </r>
    <r>
      <rPr>
        <sz val="11"/>
        <color theme="1"/>
        <rFont val="Calibri"/>
        <family val="2"/>
        <scheme val="minor"/>
      </rPr>
      <t xml:space="preserve"> at the end of Year 5.</t>
    </r>
  </si>
  <si>
    <r>
      <t xml:space="preserve">The company currently has </t>
    </r>
    <r>
      <rPr>
        <b/>
        <sz val="11"/>
        <color theme="1"/>
        <rFont val="Calibri"/>
        <family val="2"/>
        <scheme val="minor"/>
      </rPr>
      <t>₹2,800 crore of existing net debt</t>
    </r>
    <r>
      <rPr>
        <sz val="11"/>
        <color theme="1"/>
        <rFont val="Calibri"/>
        <family val="2"/>
        <scheme val="minor"/>
      </rPr>
      <t xml:space="preserve"> on its balance sheet.</t>
    </r>
  </si>
  <si>
    <r>
      <t xml:space="preserve">Transaction fees and financing expenses are estimated at </t>
    </r>
    <r>
      <rPr>
        <b/>
        <sz val="11"/>
        <color theme="1"/>
        <rFont val="Calibri"/>
        <family val="2"/>
        <scheme val="minor"/>
      </rPr>
      <t>₹180 crore</t>
    </r>
    <r>
      <rPr>
        <sz val="11"/>
        <color theme="1"/>
        <rFont val="Calibri"/>
        <family val="2"/>
        <scheme val="minor"/>
      </rPr>
      <t>.</t>
    </r>
  </si>
  <si>
    <t>The deal will be financed through the following debt structure:</t>
  </si>
  <si>
    <t>• ₹1,000 crore Revolving Credit Facility @ 8.5% interest</t>
  </si>
  <si>
    <t>• ₹6,500 crore Senior Term Loan @ 10.25% interest</t>
  </si>
  <si>
    <t>• ₹3,500 crore Senior Secured Notes @ 12.75% interest</t>
  </si>
  <si>
    <t>The remaining funding will be sponsor equity.</t>
  </si>
  <si>
    <t>Calculate the fund’s IRR based on a 5-year holding period, assuming full debt repayment through free cash flow and exit at the stated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</si>
</sst>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&quot;Year &quot;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2" borderId="0" xfId="0" applyFill="1"/>
    <xf numFmtId="0" fontId="6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7" fillId="0" borderId="0" xfId="0" applyFont="1"/>
    <xf numFmtId="165" fontId="9" fillId="0" borderId="0" xfId="0" applyNumberFormat="1" applyFont="1"/>
    <xf numFmtId="0" fontId="2" fillId="3" borderId="0" xfId="0" applyFont="1" applyFill="1" applyAlignment="1">
      <alignment horizontal="right"/>
    </xf>
    <xf numFmtId="0" fontId="10" fillId="0" borderId="0" xfId="0" applyFont="1"/>
    <xf numFmtId="166" fontId="2" fillId="3" borderId="0" xfId="0" applyNumberFormat="1" applyFont="1" applyFill="1" applyAlignment="1">
      <alignment horizontal="right"/>
    </xf>
    <xf numFmtId="37" fontId="0" fillId="0" borderId="0" xfId="0" applyNumberFormat="1"/>
    <xf numFmtId="37" fontId="9" fillId="0" borderId="0" xfId="0" applyNumberFormat="1" applyFont="1"/>
    <xf numFmtId="164" fontId="11" fillId="0" borderId="0" xfId="0" applyNumberFormat="1" applyFont="1"/>
    <xf numFmtId="37" fontId="12" fillId="0" borderId="0" xfId="0" applyNumberFormat="1" applyFont="1"/>
    <xf numFmtId="164" fontId="13" fillId="0" borderId="0" xfId="0" applyNumberFormat="1" applyFont="1"/>
    <xf numFmtId="37" fontId="3" fillId="0" borderId="0" xfId="0" applyNumberFormat="1" applyFont="1"/>
    <xf numFmtId="0" fontId="7" fillId="0" borderId="0" xfId="0" applyFont="1" applyAlignment="1">
      <alignment horizontal="right"/>
    </xf>
    <xf numFmtId="165" fontId="12" fillId="0" borderId="0" xfId="0" applyNumberFormat="1" applyFont="1"/>
    <xf numFmtId="37" fontId="0" fillId="0" borderId="1" xfId="0" applyNumberFormat="1" applyBorder="1"/>
    <xf numFmtId="165" fontId="12" fillId="0" borderId="1" xfId="0" applyNumberFormat="1" applyFont="1" applyBorder="1"/>
    <xf numFmtId="165" fontId="5" fillId="0" borderId="0" xfId="0" applyNumberFormat="1" applyFont="1"/>
    <xf numFmtId="9" fontId="0" fillId="0" borderId="0" xfId="1" applyFont="1"/>
    <xf numFmtId="164" fontId="0" fillId="0" borderId="0" xfId="1" applyNumberFormat="1" applyFont="1"/>
    <xf numFmtId="0" fontId="3" fillId="5" borderId="2" xfId="0" applyFont="1" applyFill="1" applyBorder="1"/>
    <xf numFmtId="0" fontId="3" fillId="5" borderId="3" xfId="0" applyFont="1" applyFill="1" applyBorder="1"/>
    <xf numFmtId="37" fontId="3" fillId="5" borderId="3" xfId="0" applyNumberFormat="1" applyFont="1" applyFill="1" applyBorder="1"/>
    <xf numFmtId="165" fontId="5" fillId="5" borderId="3" xfId="0" applyNumberFormat="1" applyFont="1" applyFill="1" applyBorder="1"/>
    <xf numFmtId="164" fontId="3" fillId="5" borderId="4" xfId="1" applyNumberFormat="1" applyFont="1" applyFill="1" applyBorder="1"/>
    <xf numFmtId="164" fontId="3" fillId="0" borderId="0" xfId="1" applyNumberFormat="1" applyFont="1"/>
    <xf numFmtId="164" fontId="0" fillId="0" borderId="1" xfId="1" applyNumberFormat="1" applyFont="1" applyBorder="1"/>
    <xf numFmtId="37" fontId="3" fillId="5" borderId="4" xfId="0" applyNumberFormat="1" applyFont="1" applyFill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37" fontId="9" fillId="0" borderId="1" xfId="0" applyNumberFormat="1" applyFont="1" applyBorder="1"/>
    <xf numFmtId="0" fontId="0" fillId="0" borderId="1" xfId="0" applyBorder="1" applyAlignment="1">
      <alignment horizontal="left" indent="1"/>
    </xf>
    <xf numFmtId="37" fontId="0" fillId="4" borderId="0" xfId="0" applyNumberFormat="1" applyFill="1"/>
    <xf numFmtId="165" fontId="9" fillId="0" borderId="1" xfId="0" applyNumberFormat="1" applyFont="1" applyBorder="1"/>
    <xf numFmtId="0" fontId="3" fillId="5" borderId="5" xfId="0" applyFont="1" applyFill="1" applyBorder="1"/>
    <xf numFmtId="0" fontId="3" fillId="5" borderId="6" xfId="0" applyFont="1" applyFill="1" applyBorder="1"/>
    <xf numFmtId="165" fontId="5" fillId="5" borderId="7" xfId="0" applyNumberFormat="1" applyFont="1" applyFill="1" applyBorder="1"/>
    <xf numFmtId="0" fontId="3" fillId="5" borderId="8" xfId="0" applyFont="1" applyFill="1" applyBorder="1"/>
    <xf numFmtId="0" fontId="3" fillId="5" borderId="1" xfId="0" applyFont="1" applyFill="1" applyBorder="1"/>
    <xf numFmtId="164" fontId="15" fillId="5" borderId="9" xfId="1" applyNumberFormat="1" applyFont="1" applyFill="1" applyBorder="1"/>
    <xf numFmtId="164" fontId="9" fillId="0" borderId="0" xfId="1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2" fillId="3" borderId="10" xfId="0" applyNumberFormat="1" applyFont="1" applyFill="1" applyBorder="1" applyAlignment="1">
      <alignment horizontal="right"/>
    </xf>
    <xf numFmtId="37" fontId="9" fillId="0" borderId="10" xfId="0" applyNumberFormat="1" applyFont="1" applyBorder="1"/>
    <xf numFmtId="0" fontId="0" fillId="0" borderId="10" xfId="0" quotePrefix="1" applyBorder="1"/>
    <xf numFmtId="0" fontId="0" fillId="0" borderId="10" xfId="0" applyBorder="1"/>
    <xf numFmtId="164" fontId="13" fillId="0" borderId="10" xfId="0" applyNumberFormat="1" applyFont="1" applyBorder="1"/>
    <xf numFmtId="37" fontId="12" fillId="0" borderId="10" xfId="0" applyNumberFormat="1" applyFont="1" applyBorder="1"/>
    <xf numFmtId="164" fontId="11" fillId="0" borderId="10" xfId="0" applyNumberFormat="1" applyFont="1" applyBorder="1"/>
    <xf numFmtId="0" fontId="3" fillId="5" borderId="4" xfId="0" applyFont="1" applyFill="1" applyBorder="1"/>
    <xf numFmtId="0" fontId="0" fillId="2" borderId="10" xfId="0" applyFill="1" applyBorder="1"/>
    <xf numFmtId="0" fontId="0" fillId="0" borderId="9" xfId="0" applyBorder="1"/>
    <xf numFmtId="37" fontId="14" fillId="0" borderId="10" xfId="0" applyNumberFormat="1" applyFont="1" applyBorder="1"/>
    <xf numFmtId="37" fontId="3" fillId="0" borderId="10" xfId="0" applyNumberFormat="1" applyFont="1" applyBorder="1"/>
    <xf numFmtId="0" fontId="16" fillId="0" borderId="0" xfId="2"/>
    <xf numFmtId="0" fontId="0" fillId="0" borderId="0" xfId="0" applyAlignment="1">
      <alignment horizontal="right"/>
    </xf>
    <xf numFmtId="37" fontId="8" fillId="4" borderId="0" xfId="0" applyNumberFormat="1" applyFont="1" applyFill="1"/>
    <xf numFmtId="164" fontId="8" fillId="4" borderId="0" xfId="0" applyNumberFormat="1" applyFont="1" applyFill="1"/>
    <xf numFmtId="165" fontId="8" fillId="4" borderId="1" xfId="0" applyNumberFormat="1" applyFont="1" applyFill="1" applyBorder="1"/>
    <xf numFmtId="37" fontId="8" fillId="4" borderId="1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0C43-0B18-444D-A71B-6D496C6595F8}">
  <dimension ref="B2:H25"/>
  <sheetViews>
    <sheetView showGridLines="0" tabSelected="1" zoomScaleNormal="100" workbookViewId="0">
      <selection activeCell="U10" sqref="U10"/>
    </sheetView>
  </sheetViews>
  <sheetFormatPr defaultColWidth="9.109375" defaultRowHeight="14.7" customHeight="1" x14ac:dyDescent="0.3"/>
  <cols>
    <col min="1" max="1" width="3.6640625" customWidth="1"/>
  </cols>
  <sheetData>
    <row r="2" spans="2:8" s="1" customFormat="1" ht="21" x14ac:dyDescent="0.4">
      <c r="B2" s="2" t="s">
        <v>0</v>
      </c>
    </row>
    <row r="4" spans="2:8" ht="14.7" customHeight="1" x14ac:dyDescent="0.3">
      <c r="B4" t="s">
        <v>67</v>
      </c>
    </row>
    <row r="5" spans="2:8" ht="14.7" customHeight="1" x14ac:dyDescent="0.3">
      <c r="D5" s="62"/>
      <c r="E5" s="61"/>
    </row>
    <row r="6" spans="2:8" ht="14.7" customHeight="1" x14ac:dyDescent="0.3">
      <c r="B6" t="s">
        <v>68</v>
      </c>
      <c r="H6" s="61"/>
    </row>
    <row r="7" spans="2:8" ht="14.7" customHeight="1" x14ac:dyDescent="0.3">
      <c r="B7" t="s">
        <v>69</v>
      </c>
    </row>
    <row r="8" spans="2:8" ht="14.7" customHeight="1" x14ac:dyDescent="0.3">
      <c r="B8" t="s">
        <v>70</v>
      </c>
    </row>
    <row r="9" spans="2:8" ht="14.7" customHeight="1" x14ac:dyDescent="0.3">
      <c r="B9" t="s">
        <v>71</v>
      </c>
    </row>
    <row r="10" spans="2:8" ht="14.7" customHeight="1" x14ac:dyDescent="0.3">
      <c r="B10" t="s">
        <v>72</v>
      </c>
    </row>
    <row r="11" spans="2:8" ht="14.7" customHeight="1" x14ac:dyDescent="0.3">
      <c r="B11" t="s">
        <v>73</v>
      </c>
      <c r="F11" s="61"/>
    </row>
    <row r="12" spans="2:8" ht="14.7" customHeight="1" x14ac:dyDescent="0.3">
      <c r="B12" t="s">
        <v>74</v>
      </c>
    </row>
    <row r="14" spans="2:8" ht="14.7" customHeight="1" x14ac:dyDescent="0.3">
      <c r="B14" t="s">
        <v>75</v>
      </c>
    </row>
    <row r="15" spans="2:8" ht="14.7" customHeight="1" x14ac:dyDescent="0.3">
      <c r="B15" t="s">
        <v>76</v>
      </c>
    </row>
    <row r="16" spans="2:8" ht="14.7" customHeight="1" x14ac:dyDescent="0.3">
      <c r="B16" t="s">
        <v>77</v>
      </c>
    </row>
    <row r="17" spans="2:2" ht="14.7" customHeight="1" x14ac:dyDescent="0.3">
      <c r="B17" t="s">
        <v>78</v>
      </c>
    </row>
    <row r="18" spans="2:2" ht="14.7" customHeight="1" x14ac:dyDescent="0.3">
      <c r="B18" t="s">
        <v>79</v>
      </c>
    </row>
    <row r="19" spans="2:2" ht="14.7" customHeight="1" x14ac:dyDescent="0.3">
      <c r="B19" t="s">
        <v>80</v>
      </c>
    </row>
    <row r="20" spans="2:2" ht="14.7" customHeight="1" x14ac:dyDescent="0.3">
      <c r="B20" t="s">
        <v>81</v>
      </c>
    </row>
    <row r="21" spans="2:2" ht="14.7" customHeight="1" x14ac:dyDescent="0.3">
      <c r="B21" t="s">
        <v>82</v>
      </c>
    </row>
    <row r="22" spans="2:2" ht="14.7" customHeight="1" x14ac:dyDescent="0.3">
      <c r="B22" t="s">
        <v>83</v>
      </c>
    </row>
    <row r="23" spans="2:2" ht="14.7" customHeight="1" x14ac:dyDescent="0.3">
      <c r="B23" t="s">
        <v>84</v>
      </c>
    </row>
    <row r="24" spans="2:2" ht="14.7" customHeight="1" x14ac:dyDescent="0.3">
      <c r="B24" t="s">
        <v>85</v>
      </c>
    </row>
    <row r="25" spans="2:2" ht="14.7" customHeight="1" x14ac:dyDescent="0.3">
      <c r="B2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B37F-5AC7-41AF-B5DE-2D565B1E6A4E}">
  <dimension ref="A2:P124"/>
  <sheetViews>
    <sheetView showGridLines="0" zoomScaleNormal="100" workbookViewId="0">
      <selection activeCell="T35" sqref="T35"/>
    </sheetView>
  </sheetViews>
  <sheetFormatPr defaultColWidth="8.77734375" defaultRowHeight="14.4" x14ac:dyDescent="0.3"/>
  <cols>
    <col min="1" max="1" width="3.6640625" style="48" customWidth="1"/>
  </cols>
  <sheetData>
    <row r="2" spans="1:16" s="1" customFormat="1" ht="21" x14ac:dyDescent="0.4">
      <c r="A2" s="47"/>
      <c r="B2" s="2" t="s">
        <v>0</v>
      </c>
    </row>
    <row r="4" spans="1:16" ht="15.6" x14ac:dyDescent="0.3"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4.95" customHeight="1" x14ac:dyDescent="0.3"/>
    <row r="6" spans="1:16" x14ac:dyDescent="0.3">
      <c r="B6" s="6" t="s">
        <v>2</v>
      </c>
      <c r="C6" s="5"/>
      <c r="D6" s="5"/>
      <c r="E6" s="5"/>
      <c r="G6" s="6" t="s">
        <v>13</v>
      </c>
      <c r="H6" s="5"/>
      <c r="I6" s="5"/>
      <c r="J6" s="5"/>
      <c r="L6" s="6" t="s">
        <v>22</v>
      </c>
      <c r="M6" s="5"/>
      <c r="N6" s="5"/>
      <c r="O6" s="10" t="s">
        <v>26</v>
      </c>
      <c r="P6" s="10" t="s">
        <v>27</v>
      </c>
    </row>
    <row r="7" spans="1:16" x14ac:dyDescent="0.3">
      <c r="B7" s="8" t="s">
        <v>3</v>
      </c>
      <c r="G7" t="s">
        <v>14</v>
      </c>
      <c r="J7" s="14">
        <f>K54</f>
        <v>2150</v>
      </c>
      <c r="L7" t="s">
        <v>23</v>
      </c>
      <c r="O7" s="63">
        <v>1000</v>
      </c>
      <c r="P7" s="64">
        <v>8.5000000000000006E-2</v>
      </c>
    </row>
    <row r="8" spans="1:16" x14ac:dyDescent="0.3">
      <c r="B8" t="s">
        <v>4</v>
      </c>
      <c r="E8" s="63">
        <v>8500</v>
      </c>
      <c r="G8" s="1" t="s">
        <v>20</v>
      </c>
      <c r="H8" s="1"/>
      <c r="I8" s="1"/>
      <c r="J8" s="65">
        <v>18</v>
      </c>
      <c r="L8" t="s">
        <v>24</v>
      </c>
      <c r="O8" s="63">
        <v>6500</v>
      </c>
      <c r="P8" s="64">
        <v>0.10249999999999999</v>
      </c>
    </row>
    <row r="9" spans="1:16" x14ac:dyDescent="0.3">
      <c r="B9" t="s">
        <v>5</v>
      </c>
      <c r="E9" s="63">
        <v>5100</v>
      </c>
      <c r="G9" s="7" t="s">
        <v>15</v>
      </c>
      <c r="H9" s="7"/>
      <c r="I9" s="7"/>
      <c r="J9" s="18">
        <f>J7*J8</f>
        <v>38700</v>
      </c>
      <c r="L9" t="s">
        <v>25</v>
      </c>
      <c r="O9" s="63">
        <v>3500</v>
      </c>
      <c r="P9" s="64">
        <v>0.1275</v>
      </c>
    </row>
    <row r="10" spans="1:16" x14ac:dyDescent="0.3">
      <c r="B10" t="s">
        <v>6</v>
      </c>
      <c r="E10" s="63">
        <v>1700</v>
      </c>
      <c r="G10" s="1" t="s">
        <v>16</v>
      </c>
      <c r="H10" s="1"/>
      <c r="I10" s="1"/>
      <c r="J10" s="66">
        <v>2800</v>
      </c>
    </row>
    <row r="11" spans="1:16" x14ac:dyDescent="0.3">
      <c r="B11" t="s">
        <v>7</v>
      </c>
      <c r="E11" s="63">
        <v>450</v>
      </c>
      <c r="G11" s="7" t="s">
        <v>17</v>
      </c>
      <c r="H11" s="7"/>
      <c r="I11" s="7"/>
      <c r="J11" s="18">
        <f>J9-J10</f>
        <v>35900</v>
      </c>
      <c r="L11" s="6" t="s">
        <v>66</v>
      </c>
      <c r="M11" s="5"/>
      <c r="N11" s="5"/>
      <c r="O11" s="10"/>
      <c r="P11" s="10"/>
    </row>
    <row r="12" spans="1:16" x14ac:dyDescent="0.3">
      <c r="B12" t="s">
        <v>8</v>
      </c>
      <c r="E12" s="63">
        <v>600</v>
      </c>
      <c r="L12" t="s">
        <v>65</v>
      </c>
      <c r="P12" s="9">
        <f>P123</f>
        <v>2.0161966319034068</v>
      </c>
    </row>
    <row r="13" spans="1:16" x14ac:dyDescent="0.3">
      <c r="B13" t="s">
        <v>9</v>
      </c>
      <c r="E13" s="63">
        <v>750</v>
      </c>
      <c r="G13" t="s">
        <v>18</v>
      </c>
      <c r="J13" s="63">
        <v>180</v>
      </c>
      <c r="L13" t="s">
        <v>60</v>
      </c>
      <c r="P13" s="46">
        <f>P124</f>
        <v>0.15055286177738259</v>
      </c>
    </row>
    <row r="15" spans="1:16" x14ac:dyDescent="0.3">
      <c r="B15" s="8" t="s">
        <v>10</v>
      </c>
      <c r="G15" s="6" t="s">
        <v>19</v>
      </c>
      <c r="H15" s="5"/>
      <c r="I15" s="5"/>
      <c r="J15" s="5"/>
    </row>
    <row r="16" spans="1:16" x14ac:dyDescent="0.3">
      <c r="B16" t="s">
        <v>11</v>
      </c>
      <c r="E16" s="64">
        <v>0.11</v>
      </c>
      <c r="G16" t="s">
        <v>21</v>
      </c>
      <c r="J16" s="9">
        <f>J8</f>
        <v>18</v>
      </c>
    </row>
    <row r="17" spans="2:16" x14ac:dyDescent="0.3">
      <c r="B17" t="s">
        <v>12</v>
      </c>
      <c r="E17" s="64">
        <v>0.25</v>
      </c>
    </row>
    <row r="19" spans="2:16" ht="15.6" x14ac:dyDescent="0.3">
      <c r="B19" s="4" t="s">
        <v>28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ht="4.95" customHeight="1" x14ac:dyDescent="0.3"/>
    <row r="21" spans="2:16" x14ac:dyDescent="0.3">
      <c r="B21" s="6" t="s">
        <v>40</v>
      </c>
      <c r="C21" s="5"/>
      <c r="D21" s="5"/>
      <c r="E21" s="5"/>
      <c r="F21" s="5"/>
      <c r="G21" s="5"/>
      <c r="K21" s="6" t="s">
        <v>39</v>
      </c>
      <c r="L21" s="5"/>
      <c r="M21" s="5"/>
      <c r="N21" s="5"/>
      <c r="O21" s="5"/>
      <c r="P21" s="5"/>
    </row>
    <row r="22" spans="2:16" x14ac:dyDescent="0.3">
      <c r="E22" s="19" t="s">
        <v>26</v>
      </c>
      <c r="F22" s="19" t="s">
        <v>41</v>
      </c>
      <c r="G22" s="19" t="s">
        <v>42</v>
      </c>
      <c r="N22" s="19" t="s">
        <v>26</v>
      </c>
      <c r="O22" s="19" t="s">
        <v>41</v>
      </c>
      <c r="P22" s="19" t="s">
        <v>42</v>
      </c>
    </row>
    <row r="23" spans="2:16" x14ac:dyDescent="0.3">
      <c r="B23" t="str">
        <f>L7</f>
        <v>Revolver</v>
      </c>
      <c r="E23" s="14">
        <f>O7</f>
        <v>1000</v>
      </c>
      <c r="F23" s="20">
        <f>E23/$J$7</f>
        <v>0.46511627906976744</v>
      </c>
      <c r="G23" s="25">
        <f>E23/$E$30</f>
        <v>2.5720164609053499E-2</v>
      </c>
      <c r="K23" t="s">
        <v>46</v>
      </c>
      <c r="N23" s="14">
        <f>J10</f>
        <v>2800</v>
      </c>
      <c r="O23" s="20">
        <f>N23/$J$7</f>
        <v>1.3023255813953489</v>
      </c>
      <c r="P23" s="25">
        <f>N23/$N$30</f>
        <v>7.2016460905349799E-2</v>
      </c>
    </row>
    <row r="24" spans="2:16" x14ac:dyDescent="0.3">
      <c r="B24" t="str">
        <f t="shared" ref="B24:B25" si="0">L8</f>
        <v>Bank Loan</v>
      </c>
      <c r="E24" s="14">
        <f>O8</f>
        <v>6500</v>
      </c>
      <c r="F24" s="20">
        <f t="shared" ref="F24:F25" si="1">E24/$J$7</f>
        <v>3.0232558139534884</v>
      </c>
      <c r="G24" s="25">
        <f t="shared" ref="G24:G30" si="2">E24/$E$30</f>
        <v>0.16718106995884774</v>
      </c>
      <c r="K24" t="s">
        <v>47</v>
      </c>
      <c r="N24" s="14">
        <f>J11</f>
        <v>35900</v>
      </c>
      <c r="O24" s="20">
        <f>N24/$J$7</f>
        <v>16.697674418604652</v>
      </c>
      <c r="P24" s="25">
        <f>N24/$N$30</f>
        <v>0.92335390946502061</v>
      </c>
    </row>
    <row r="25" spans="2:16" x14ac:dyDescent="0.3">
      <c r="B25" s="1" t="str">
        <f t="shared" si="0"/>
        <v>Senior Notes</v>
      </c>
      <c r="C25" s="1"/>
      <c r="D25" s="1"/>
      <c r="E25" s="36">
        <f>O9</f>
        <v>3500</v>
      </c>
      <c r="F25" s="22">
        <f t="shared" si="1"/>
        <v>1.6279069767441861</v>
      </c>
      <c r="G25" s="32">
        <f t="shared" si="2"/>
        <v>9.0020576131687249E-2</v>
      </c>
      <c r="N25" s="14"/>
    </row>
    <row r="26" spans="2:16" x14ac:dyDescent="0.3">
      <c r="B26" s="7" t="s">
        <v>43</v>
      </c>
      <c r="C26" s="7"/>
      <c r="E26" s="18">
        <f>SUM(E23:E25)</f>
        <v>11000</v>
      </c>
      <c r="F26" s="23">
        <f>SUM(F23:F25)</f>
        <v>5.1162790697674421</v>
      </c>
      <c r="G26" s="31">
        <f t="shared" si="2"/>
        <v>0.28292181069958849</v>
      </c>
      <c r="K26" t="s">
        <v>18</v>
      </c>
      <c r="N26" s="14">
        <f>J13</f>
        <v>180</v>
      </c>
      <c r="O26" s="20">
        <f>N26/$J$7</f>
        <v>8.3720930232558138E-2</v>
      </c>
      <c r="P26" s="25">
        <f>N26/$N$30</f>
        <v>4.6296296296296294E-3</v>
      </c>
    </row>
    <row r="27" spans="2:16" x14ac:dyDescent="0.3">
      <c r="G27" s="25"/>
    </row>
    <row r="28" spans="2:16" x14ac:dyDescent="0.3">
      <c r="B28" t="s">
        <v>44</v>
      </c>
      <c r="E28" s="13">
        <f>E30-E26</f>
        <v>27880</v>
      </c>
      <c r="F28" s="20">
        <f t="shared" ref="F28:F30" si="3">E28/$J$7</f>
        <v>12.967441860465117</v>
      </c>
      <c r="G28" s="25">
        <f t="shared" si="2"/>
        <v>0.71707818930041156</v>
      </c>
    </row>
    <row r="29" spans="2:16" x14ac:dyDescent="0.3">
      <c r="G29" s="25"/>
    </row>
    <row r="30" spans="2:16" x14ac:dyDescent="0.3">
      <c r="B30" s="26" t="s">
        <v>45</v>
      </c>
      <c r="C30" s="27"/>
      <c r="D30" s="27"/>
      <c r="E30" s="28">
        <f>N30</f>
        <v>38880</v>
      </c>
      <c r="F30" s="29">
        <f t="shared" si="3"/>
        <v>18.083720930232559</v>
      </c>
      <c r="G30" s="30">
        <f t="shared" si="2"/>
        <v>1</v>
      </c>
      <c r="K30" s="26" t="s">
        <v>48</v>
      </c>
      <c r="L30" s="27"/>
      <c r="M30" s="27"/>
      <c r="N30" s="28">
        <f>N23+N24+N26</f>
        <v>38880</v>
      </c>
      <c r="O30" s="29">
        <f>O23+O24+O26</f>
        <v>18.083720930232559</v>
      </c>
      <c r="P30" s="30">
        <f>P23+P24+P26</f>
        <v>1</v>
      </c>
    </row>
    <row r="33" spans="2:16" ht="15.6" x14ac:dyDescent="0.3">
      <c r="B33" s="4" t="s">
        <v>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ht="4.95" customHeight="1" x14ac:dyDescent="0.3"/>
    <row r="35" spans="2:16" x14ac:dyDescent="0.3">
      <c r="B35" s="6" t="s">
        <v>29</v>
      </c>
      <c r="C35" s="5"/>
      <c r="D35" s="5"/>
      <c r="E35" s="5"/>
      <c r="F35" s="5"/>
      <c r="G35" s="5"/>
      <c r="H35" s="5"/>
      <c r="I35" s="5"/>
      <c r="J35" s="5"/>
      <c r="K35" s="49">
        <v>0</v>
      </c>
      <c r="L35" s="12">
        <f>K35+1</f>
        <v>1</v>
      </c>
      <c r="M35" s="12">
        <f t="shared" ref="M35:P35" si="4">L35+1</f>
        <v>2</v>
      </c>
      <c r="N35" s="12">
        <f t="shared" si="4"/>
        <v>3</v>
      </c>
      <c r="O35" s="12">
        <f t="shared" si="4"/>
        <v>4</v>
      </c>
      <c r="P35" s="12">
        <f t="shared" si="4"/>
        <v>5</v>
      </c>
    </row>
    <row r="36" spans="2:16" x14ac:dyDescent="0.3">
      <c r="B36" t="s">
        <v>4</v>
      </c>
      <c r="K36" s="50">
        <f>E8</f>
        <v>8500</v>
      </c>
      <c r="L36" s="16">
        <f>K36*(1+L37)</f>
        <v>9435</v>
      </c>
      <c r="M36" s="16">
        <f t="shared" ref="M36:P36" si="5">L36*(1+M37)</f>
        <v>10472.85</v>
      </c>
      <c r="N36" s="16">
        <f t="shared" si="5"/>
        <v>11624.863500000001</v>
      </c>
      <c r="O36" s="16">
        <f t="shared" si="5"/>
        <v>12903.598485000002</v>
      </c>
      <c r="P36" s="16">
        <f t="shared" si="5"/>
        <v>14322.994318350004</v>
      </c>
    </row>
    <row r="37" spans="2:16" x14ac:dyDescent="0.3">
      <c r="B37" s="11" t="s">
        <v>30</v>
      </c>
      <c r="K37" s="51"/>
      <c r="L37" s="15">
        <f>$E$16</f>
        <v>0.11</v>
      </c>
      <c r="M37" s="15">
        <f>L37</f>
        <v>0.11</v>
      </c>
      <c r="N37" s="15">
        <f t="shared" ref="N37:P37" si="6">M37</f>
        <v>0.11</v>
      </c>
      <c r="O37" s="15">
        <f t="shared" si="6"/>
        <v>0.11</v>
      </c>
      <c r="P37" s="15">
        <f t="shared" si="6"/>
        <v>0.11</v>
      </c>
    </row>
    <row r="38" spans="2:16" x14ac:dyDescent="0.3">
      <c r="K38" s="52"/>
    </row>
    <row r="39" spans="2:16" x14ac:dyDescent="0.3">
      <c r="B39" t="s">
        <v>5</v>
      </c>
      <c r="K39" s="50">
        <f>E9</f>
        <v>5100</v>
      </c>
      <c r="L39" s="16">
        <f>L40*L36</f>
        <v>5661</v>
      </c>
      <c r="M39" s="16">
        <f t="shared" ref="M39:P39" si="7">M40*M36</f>
        <v>6283.71</v>
      </c>
      <c r="N39" s="16">
        <f t="shared" si="7"/>
        <v>6974.9181000000008</v>
      </c>
      <c r="O39" s="16">
        <f t="shared" si="7"/>
        <v>7742.1590910000014</v>
      </c>
      <c r="P39" s="16">
        <f t="shared" si="7"/>
        <v>8593.7965910100011</v>
      </c>
    </row>
    <row r="40" spans="2:16" x14ac:dyDescent="0.3">
      <c r="B40" s="11" t="s">
        <v>31</v>
      </c>
      <c r="K40" s="53">
        <f>K39/K36</f>
        <v>0.6</v>
      </c>
      <c r="L40" s="15">
        <f>K40</f>
        <v>0.6</v>
      </c>
      <c r="M40" s="15">
        <f t="shared" ref="M40:P40" si="8">L40</f>
        <v>0.6</v>
      </c>
      <c r="N40" s="15">
        <f t="shared" si="8"/>
        <v>0.6</v>
      </c>
      <c r="O40" s="15">
        <f t="shared" si="8"/>
        <v>0.6</v>
      </c>
      <c r="P40" s="15">
        <f t="shared" si="8"/>
        <v>0.6</v>
      </c>
    </row>
    <row r="41" spans="2:16" x14ac:dyDescent="0.3">
      <c r="K41" s="52"/>
    </row>
    <row r="42" spans="2:16" x14ac:dyDescent="0.3">
      <c r="B42" t="s">
        <v>32</v>
      </c>
      <c r="K42" s="54">
        <f>K36-K39</f>
        <v>3400</v>
      </c>
      <c r="L42" s="16">
        <f t="shared" ref="L42:P42" si="9">L36-L39</f>
        <v>3774</v>
      </c>
      <c r="M42" s="16">
        <f t="shared" si="9"/>
        <v>4189.1400000000003</v>
      </c>
      <c r="N42" s="16">
        <f t="shared" si="9"/>
        <v>4649.9454000000005</v>
      </c>
      <c r="O42" s="16">
        <f t="shared" si="9"/>
        <v>5161.4393940000009</v>
      </c>
      <c r="P42" s="16">
        <f t="shared" si="9"/>
        <v>5729.1977273400025</v>
      </c>
    </row>
    <row r="43" spans="2:16" x14ac:dyDescent="0.3">
      <c r="B43" s="11" t="s">
        <v>31</v>
      </c>
      <c r="K43" s="53">
        <f>K42/K36</f>
        <v>0.4</v>
      </c>
      <c r="L43" s="17">
        <f t="shared" ref="L43:P43" si="10">L42/L36</f>
        <v>0.4</v>
      </c>
      <c r="M43" s="17">
        <f t="shared" si="10"/>
        <v>0.4</v>
      </c>
      <c r="N43" s="17">
        <f t="shared" si="10"/>
        <v>0.4</v>
      </c>
      <c r="O43" s="17">
        <f t="shared" si="10"/>
        <v>0.4</v>
      </c>
      <c r="P43" s="17">
        <f t="shared" si="10"/>
        <v>0.40000000000000008</v>
      </c>
    </row>
    <row r="44" spans="2:16" x14ac:dyDescent="0.3">
      <c r="K44" s="52"/>
    </row>
    <row r="45" spans="2:16" x14ac:dyDescent="0.3">
      <c r="B45" t="s">
        <v>6</v>
      </c>
      <c r="K45" s="50">
        <f>E10</f>
        <v>1700</v>
      </c>
      <c r="L45" s="16">
        <f>L46*L36</f>
        <v>1887</v>
      </c>
      <c r="M45" s="16">
        <f t="shared" ref="M45:P45" si="11">M46*M36</f>
        <v>2094.5700000000002</v>
      </c>
      <c r="N45" s="16">
        <f t="shared" si="11"/>
        <v>2324.9727000000003</v>
      </c>
      <c r="O45" s="16">
        <f t="shared" si="11"/>
        <v>2580.7196970000005</v>
      </c>
      <c r="P45" s="16">
        <f t="shared" si="11"/>
        <v>2864.5988636700008</v>
      </c>
    </row>
    <row r="46" spans="2:16" x14ac:dyDescent="0.3">
      <c r="B46" s="11" t="s">
        <v>31</v>
      </c>
      <c r="K46" s="53">
        <f>K45/K36</f>
        <v>0.2</v>
      </c>
      <c r="L46" s="15">
        <f>K46</f>
        <v>0.2</v>
      </c>
      <c r="M46" s="15">
        <f t="shared" ref="M46:P46" si="12">L46</f>
        <v>0.2</v>
      </c>
      <c r="N46" s="15">
        <f t="shared" si="12"/>
        <v>0.2</v>
      </c>
      <c r="O46" s="15">
        <f t="shared" si="12"/>
        <v>0.2</v>
      </c>
      <c r="P46" s="15">
        <f t="shared" si="12"/>
        <v>0.2</v>
      </c>
    </row>
    <row r="47" spans="2:16" x14ac:dyDescent="0.3">
      <c r="K47" s="52"/>
    </row>
    <row r="48" spans="2:16" x14ac:dyDescent="0.3">
      <c r="B48" t="s">
        <v>33</v>
      </c>
      <c r="K48" s="54">
        <f>K42-K45</f>
        <v>1700</v>
      </c>
      <c r="L48" s="16">
        <f t="shared" ref="L48:P48" si="13">L42-L45</f>
        <v>1887</v>
      </c>
      <c r="M48" s="16">
        <f t="shared" si="13"/>
        <v>2094.5700000000002</v>
      </c>
      <c r="N48" s="16">
        <f t="shared" si="13"/>
        <v>2324.9727000000003</v>
      </c>
      <c r="O48" s="16">
        <f t="shared" si="13"/>
        <v>2580.7196970000005</v>
      </c>
      <c r="P48" s="16">
        <f t="shared" si="13"/>
        <v>2864.5988636700017</v>
      </c>
    </row>
    <row r="49" spans="2:16" x14ac:dyDescent="0.3">
      <c r="B49" s="11" t="s">
        <v>31</v>
      </c>
      <c r="K49" s="53">
        <f>K48/K36</f>
        <v>0.2</v>
      </c>
      <c r="L49" s="17">
        <f t="shared" ref="L49:P49" si="14">L48/L36</f>
        <v>0.2</v>
      </c>
      <c r="M49" s="17">
        <f t="shared" si="14"/>
        <v>0.2</v>
      </c>
      <c r="N49" s="17">
        <f t="shared" si="14"/>
        <v>0.2</v>
      </c>
      <c r="O49" s="17">
        <f t="shared" si="14"/>
        <v>0.2</v>
      </c>
      <c r="P49" s="17">
        <f t="shared" si="14"/>
        <v>0.20000000000000007</v>
      </c>
    </row>
    <row r="50" spans="2:16" x14ac:dyDescent="0.3">
      <c r="K50" s="52"/>
    </row>
    <row r="51" spans="2:16" x14ac:dyDescent="0.3">
      <c r="B51" t="s">
        <v>7</v>
      </c>
      <c r="K51" s="50">
        <f>E11</f>
        <v>450</v>
      </c>
      <c r="L51" s="16">
        <f>L52*L$36</f>
        <v>499.5</v>
      </c>
      <c r="M51" s="16">
        <f t="shared" ref="M51:P51" si="15">M52*M$36</f>
        <v>554.44500000000005</v>
      </c>
      <c r="N51" s="16">
        <f t="shared" si="15"/>
        <v>615.4339500000001</v>
      </c>
      <c r="O51" s="16">
        <f t="shared" si="15"/>
        <v>683.13168450000012</v>
      </c>
      <c r="P51" s="16">
        <f t="shared" si="15"/>
        <v>758.27616979500021</v>
      </c>
    </row>
    <row r="52" spans="2:16" x14ac:dyDescent="0.3">
      <c r="B52" s="11" t="s">
        <v>31</v>
      </c>
      <c r="K52" s="53">
        <f>K51/K36</f>
        <v>5.2941176470588235E-2</v>
      </c>
      <c r="L52" s="15">
        <f>K52</f>
        <v>5.2941176470588235E-2</v>
      </c>
      <c r="M52" s="15">
        <f t="shared" ref="M52:P52" si="16">L52</f>
        <v>5.2941176470588235E-2</v>
      </c>
      <c r="N52" s="15">
        <f t="shared" si="16"/>
        <v>5.2941176470588235E-2</v>
      </c>
      <c r="O52" s="15">
        <f t="shared" si="16"/>
        <v>5.2941176470588235E-2</v>
      </c>
      <c r="P52" s="15">
        <f t="shared" si="16"/>
        <v>5.2941176470588235E-2</v>
      </c>
    </row>
    <row r="53" spans="2:16" x14ac:dyDescent="0.3">
      <c r="K53" s="52"/>
    </row>
    <row r="54" spans="2:16" x14ac:dyDescent="0.3">
      <c r="B54" t="s">
        <v>34</v>
      </c>
      <c r="K54" s="54">
        <f>K48+K51</f>
        <v>2150</v>
      </c>
      <c r="L54" s="16">
        <f t="shared" ref="L54:P54" si="17">L48+L51</f>
        <v>2386.5</v>
      </c>
      <c r="M54" s="16">
        <f t="shared" si="17"/>
        <v>2649.0150000000003</v>
      </c>
      <c r="N54" s="16">
        <f t="shared" si="17"/>
        <v>2940.4066500000004</v>
      </c>
      <c r="O54" s="16">
        <f t="shared" si="17"/>
        <v>3263.8513815000006</v>
      </c>
      <c r="P54" s="16">
        <f t="shared" si="17"/>
        <v>3622.8750334650022</v>
      </c>
    </row>
    <row r="55" spans="2:16" x14ac:dyDescent="0.3">
      <c r="B55" s="11" t="s">
        <v>31</v>
      </c>
      <c r="K55" s="53">
        <f>K54/K$36</f>
        <v>0.25294117647058822</v>
      </c>
      <c r="L55" s="17">
        <f t="shared" ref="L55:P55" si="18">L54/L$36</f>
        <v>0.25294117647058822</v>
      </c>
      <c r="M55" s="17">
        <f t="shared" si="18"/>
        <v>0.25294117647058828</v>
      </c>
      <c r="N55" s="17">
        <f t="shared" si="18"/>
        <v>0.25294117647058822</v>
      </c>
      <c r="O55" s="17">
        <f t="shared" si="18"/>
        <v>0.25294117647058822</v>
      </c>
      <c r="P55" s="17">
        <f t="shared" si="18"/>
        <v>0.25294117647058834</v>
      </c>
    </row>
    <row r="56" spans="2:16" x14ac:dyDescent="0.3">
      <c r="K56" s="52"/>
    </row>
    <row r="57" spans="2:16" x14ac:dyDescent="0.3">
      <c r="B57" t="s">
        <v>27</v>
      </c>
      <c r="K57" s="52"/>
      <c r="L57" s="38">
        <f>L109</f>
        <v>1197.5</v>
      </c>
      <c r="M57" s="38">
        <f t="shared" ref="M57:P57" si="19">M109</f>
        <v>1187.4593749999999</v>
      </c>
      <c r="N57" s="38">
        <f t="shared" si="19"/>
        <v>1167.2767226562501</v>
      </c>
      <c r="O57" s="38">
        <f t="shared" si="19"/>
        <v>1135.2602756005858</v>
      </c>
      <c r="P57" s="38">
        <f t="shared" si="19"/>
        <v>1084.7592104972441</v>
      </c>
    </row>
    <row r="58" spans="2:16" x14ac:dyDescent="0.3">
      <c r="K58" s="52"/>
    </row>
    <row r="59" spans="2:16" x14ac:dyDescent="0.3">
      <c r="B59" t="s">
        <v>35</v>
      </c>
      <c r="K59" s="52"/>
      <c r="L59" s="16">
        <f>L48-L57</f>
        <v>689.5</v>
      </c>
      <c r="M59" s="16">
        <f t="shared" ref="M59:P59" si="20">M48-M57</f>
        <v>907.11062500000025</v>
      </c>
      <c r="N59" s="16">
        <f t="shared" si="20"/>
        <v>1157.6959773437502</v>
      </c>
      <c r="O59" s="16">
        <f t="shared" si="20"/>
        <v>1445.4594213994146</v>
      </c>
      <c r="P59" s="16">
        <f t="shared" si="20"/>
        <v>1779.8396531727576</v>
      </c>
    </row>
    <row r="60" spans="2:16" x14ac:dyDescent="0.3">
      <c r="B60" s="11" t="s">
        <v>31</v>
      </c>
      <c r="K60" s="52"/>
      <c r="L60" s="17">
        <f>L59/L$36</f>
        <v>7.3078961314255425E-2</v>
      </c>
      <c r="M60" s="17">
        <f t="shared" ref="M60:P60" si="21">M59/M$36</f>
        <v>8.6615450904004188E-2</v>
      </c>
      <c r="N60" s="17">
        <f t="shared" si="21"/>
        <v>9.9587920094180035E-2</v>
      </c>
      <c r="O60" s="17">
        <f t="shared" si="21"/>
        <v>0.11201986973476526</v>
      </c>
      <c r="P60" s="17">
        <f t="shared" si="21"/>
        <v>0.12426449481254793</v>
      </c>
    </row>
    <row r="61" spans="2:16" x14ac:dyDescent="0.3">
      <c r="K61" s="52"/>
    </row>
    <row r="62" spans="2:16" x14ac:dyDescent="0.3">
      <c r="B62" t="s">
        <v>36</v>
      </c>
      <c r="K62" s="52"/>
      <c r="L62" s="16">
        <f>L59*L63</f>
        <v>172.375</v>
      </c>
      <c r="M62" s="16">
        <f t="shared" ref="M62:P62" si="22">M59*M63</f>
        <v>226.77765625000006</v>
      </c>
      <c r="N62" s="16">
        <f t="shared" si="22"/>
        <v>289.42399433593755</v>
      </c>
      <c r="O62" s="16">
        <f t="shared" si="22"/>
        <v>361.36485534985366</v>
      </c>
      <c r="P62" s="16">
        <f t="shared" si="22"/>
        <v>444.9599132931894</v>
      </c>
    </row>
    <row r="63" spans="2:16" x14ac:dyDescent="0.3">
      <c r="B63" s="11" t="s">
        <v>37</v>
      </c>
      <c r="K63" s="52"/>
      <c r="L63" s="15">
        <f>E17</f>
        <v>0.25</v>
      </c>
      <c r="M63" s="15">
        <f>L63</f>
        <v>0.25</v>
      </c>
      <c r="N63" s="15">
        <f t="shared" ref="N63:P63" si="23">M63</f>
        <v>0.25</v>
      </c>
      <c r="O63" s="15">
        <f t="shared" si="23"/>
        <v>0.25</v>
      </c>
      <c r="P63" s="15">
        <f t="shared" si="23"/>
        <v>0.25</v>
      </c>
    </row>
    <row r="64" spans="2:16" x14ac:dyDescent="0.3">
      <c r="K64" s="52"/>
    </row>
    <row r="65" spans="2:16" x14ac:dyDescent="0.3">
      <c r="B65" t="s">
        <v>38</v>
      </c>
      <c r="K65" s="52"/>
      <c r="L65" s="13">
        <f>L59-L62</f>
        <v>517.125</v>
      </c>
      <c r="M65" s="13">
        <f t="shared" ref="M65:P65" si="24">M59-M62</f>
        <v>680.33296875000019</v>
      </c>
      <c r="N65" s="13">
        <f t="shared" si="24"/>
        <v>868.27198300781265</v>
      </c>
      <c r="O65" s="13">
        <f t="shared" si="24"/>
        <v>1084.0945660495609</v>
      </c>
      <c r="P65" s="13">
        <f t="shared" si="24"/>
        <v>1334.8797398795682</v>
      </c>
    </row>
    <row r="66" spans="2:16" x14ac:dyDescent="0.3">
      <c r="B66" s="11" t="s">
        <v>31</v>
      </c>
      <c r="K66" s="52"/>
      <c r="L66" s="17">
        <f>L65/L$36</f>
        <v>5.4809220985691576E-2</v>
      </c>
      <c r="M66" s="17">
        <f t="shared" ref="M66" si="25">M65/M$36</f>
        <v>6.4961588178003141E-2</v>
      </c>
      <c r="N66" s="17">
        <f t="shared" ref="N66" si="26">N65/N$36</f>
        <v>7.4690940070635023E-2</v>
      </c>
      <c r="O66" s="17">
        <f t="shared" ref="O66" si="27">O65/O$36</f>
        <v>8.4014902301073932E-2</v>
      </c>
      <c r="P66" s="17">
        <f t="shared" ref="P66" si="28">P65/P$36</f>
        <v>9.3198371109410955E-2</v>
      </c>
    </row>
    <row r="67" spans="2:16" x14ac:dyDescent="0.3">
      <c r="K67" s="52"/>
    </row>
    <row r="68" spans="2:16" x14ac:dyDescent="0.3">
      <c r="B68" s="6" t="s">
        <v>49</v>
      </c>
      <c r="C68" s="5"/>
      <c r="D68" s="5"/>
      <c r="E68" s="5"/>
      <c r="F68" s="5"/>
      <c r="G68" s="5"/>
      <c r="H68" s="5"/>
      <c r="I68" s="5"/>
      <c r="J68" s="5"/>
      <c r="K68" s="49">
        <v>0</v>
      </c>
      <c r="L68" s="12">
        <f>K68+1</f>
        <v>1</v>
      </c>
      <c r="M68" s="12">
        <f t="shared" ref="M68:P68" si="29">L68+1</f>
        <v>2</v>
      </c>
      <c r="N68" s="12">
        <f t="shared" si="29"/>
        <v>3</v>
      </c>
      <c r="O68" s="12">
        <f t="shared" si="29"/>
        <v>4</v>
      </c>
      <c r="P68" s="12">
        <f t="shared" si="29"/>
        <v>5</v>
      </c>
    </row>
    <row r="69" spans="2:16" x14ac:dyDescent="0.3">
      <c r="B69" t="s">
        <v>7</v>
      </c>
      <c r="K69" s="50">
        <f>K51</f>
        <v>450</v>
      </c>
      <c r="L69" s="14">
        <f t="shared" ref="L69:P69" si="30">L51</f>
        <v>499.5</v>
      </c>
      <c r="M69" s="14">
        <f t="shared" si="30"/>
        <v>554.44500000000005</v>
      </c>
      <c r="N69" s="14">
        <f t="shared" si="30"/>
        <v>615.4339500000001</v>
      </c>
      <c r="O69" s="14">
        <f t="shared" si="30"/>
        <v>683.13168450000012</v>
      </c>
      <c r="P69" s="14">
        <f t="shared" si="30"/>
        <v>758.27616979500021</v>
      </c>
    </row>
    <row r="70" spans="2:16" x14ac:dyDescent="0.3">
      <c r="B70" s="11" t="s">
        <v>31</v>
      </c>
      <c r="K70" s="55">
        <f>K52</f>
        <v>5.2941176470588235E-2</v>
      </c>
      <c r="L70" s="15">
        <f t="shared" ref="L70:P70" si="31">L52</f>
        <v>5.2941176470588235E-2</v>
      </c>
      <c r="M70" s="15">
        <f t="shared" si="31"/>
        <v>5.2941176470588235E-2</v>
      </c>
      <c r="N70" s="15">
        <f t="shared" si="31"/>
        <v>5.2941176470588235E-2</v>
      </c>
      <c r="O70" s="15">
        <f t="shared" si="31"/>
        <v>5.2941176470588235E-2</v>
      </c>
      <c r="P70" s="15">
        <f t="shared" si="31"/>
        <v>5.2941176470588235E-2</v>
      </c>
    </row>
    <row r="71" spans="2:16" x14ac:dyDescent="0.3">
      <c r="K71" s="52"/>
    </row>
    <row r="72" spans="2:16" x14ac:dyDescent="0.3">
      <c r="B72" t="s">
        <v>50</v>
      </c>
      <c r="K72" s="50">
        <f>E12</f>
        <v>600</v>
      </c>
      <c r="L72" s="16">
        <f>L73*L36</f>
        <v>666</v>
      </c>
      <c r="M72" s="16">
        <f t="shared" ref="M72:P72" si="32">M73*M36</f>
        <v>739.26</v>
      </c>
      <c r="N72" s="16">
        <f t="shared" si="32"/>
        <v>820.57860000000005</v>
      </c>
      <c r="O72" s="16">
        <f t="shared" si="32"/>
        <v>910.84224600000016</v>
      </c>
      <c r="P72" s="16">
        <f t="shared" si="32"/>
        <v>1011.0348930600003</v>
      </c>
    </row>
    <row r="73" spans="2:16" x14ac:dyDescent="0.3">
      <c r="B73" s="11" t="s">
        <v>31</v>
      </c>
      <c r="K73" s="53">
        <f>K72/K36</f>
        <v>7.0588235294117646E-2</v>
      </c>
      <c r="L73" s="15">
        <f>K73</f>
        <v>7.0588235294117646E-2</v>
      </c>
      <c r="M73" s="15">
        <f t="shared" ref="M73:P73" si="33">L73</f>
        <v>7.0588235294117646E-2</v>
      </c>
      <c r="N73" s="15">
        <f t="shared" si="33"/>
        <v>7.0588235294117646E-2</v>
      </c>
      <c r="O73" s="15">
        <f t="shared" si="33"/>
        <v>7.0588235294117646E-2</v>
      </c>
      <c r="P73" s="15">
        <f t="shared" si="33"/>
        <v>7.0588235294117646E-2</v>
      </c>
    </row>
    <row r="74" spans="2:16" x14ac:dyDescent="0.3">
      <c r="B74" t="s">
        <v>51</v>
      </c>
      <c r="K74" s="52"/>
      <c r="L74" s="13">
        <f>L72-K72</f>
        <v>66</v>
      </c>
      <c r="M74" s="13">
        <f t="shared" ref="M74:P74" si="34">M72-L72</f>
        <v>73.259999999999991</v>
      </c>
      <c r="N74" s="13">
        <f t="shared" si="34"/>
        <v>81.31860000000006</v>
      </c>
      <c r="O74" s="13">
        <f t="shared" si="34"/>
        <v>90.263646000000108</v>
      </c>
      <c r="P74" s="13">
        <f t="shared" si="34"/>
        <v>100.19264706000013</v>
      </c>
    </row>
    <row r="75" spans="2:16" x14ac:dyDescent="0.3">
      <c r="K75" s="52"/>
    </row>
    <row r="76" spans="2:16" x14ac:dyDescent="0.3">
      <c r="B76" t="s">
        <v>9</v>
      </c>
      <c r="K76" s="50">
        <f>E13</f>
        <v>750</v>
      </c>
      <c r="L76" s="16">
        <f>L77*L36</f>
        <v>832.5</v>
      </c>
      <c r="M76" s="16">
        <f t="shared" ref="M76:P76" si="35">M77*M36</f>
        <v>924.07500000000005</v>
      </c>
      <c r="N76" s="16">
        <f t="shared" si="35"/>
        <v>1025.7232500000002</v>
      </c>
      <c r="O76" s="16">
        <f t="shared" si="35"/>
        <v>1138.5528075000002</v>
      </c>
      <c r="P76" s="16">
        <f t="shared" si="35"/>
        <v>1263.7936163250004</v>
      </c>
    </row>
    <row r="77" spans="2:16" x14ac:dyDescent="0.3">
      <c r="B77" s="11" t="s">
        <v>31</v>
      </c>
      <c r="K77" s="53">
        <f>K76/K36</f>
        <v>8.8235294117647065E-2</v>
      </c>
      <c r="L77" s="15">
        <f>K77</f>
        <v>8.8235294117647065E-2</v>
      </c>
      <c r="M77" s="15">
        <f t="shared" ref="M77:P77" si="36">L77</f>
        <v>8.8235294117647065E-2</v>
      </c>
      <c r="N77" s="15">
        <f t="shared" si="36"/>
        <v>8.8235294117647065E-2</v>
      </c>
      <c r="O77" s="15">
        <f t="shared" si="36"/>
        <v>8.8235294117647065E-2</v>
      </c>
      <c r="P77" s="15">
        <f t="shared" si="36"/>
        <v>8.8235294117647065E-2</v>
      </c>
    </row>
    <row r="78" spans="2:16" x14ac:dyDescent="0.3">
      <c r="K78" s="52"/>
    </row>
    <row r="79" spans="2:16" x14ac:dyDescent="0.3">
      <c r="B79" s="6" t="s">
        <v>52</v>
      </c>
      <c r="C79" s="5"/>
      <c r="D79" s="5"/>
      <c r="E79" s="5"/>
      <c r="F79" s="5"/>
      <c r="G79" s="5"/>
      <c r="H79" s="5"/>
      <c r="I79" s="5"/>
      <c r="J79" s="5"/>
      <c r="K79" s="49">
        <v>0</v>
      </c>
      <c r="L79" s="12">
        <f>K79+1</f>
        <v>1</v>
      </c>
      <c r="M79" s="12">
        <f t="shared" ref="M79:P79" si="37">L79+1</f>
        <v>2</v>
      </c>
      <c r="N79" s="12">
        <f t="shared" si="37"/>
        <v>3</v>
      </c>
      <c r="O79" s="12">
        <f t="shared" si="37"/>
        <v>4</v>
      </c>
      <c r="P79" s="12">
        <f t="shared" si="37"/>
        <v>5</v>
      </c>
    </row>
    <row r="80" spans="2:16" x14ac:dyDescent="0.3">
      <c r="B80" t="s">
        <v>38</v>
      </c>
      <c r="K80" s="52"/>
      <c r="L80" s="14">
        <f>L65</f>
        <v>517.125</v>
      </c>
      <c r="M80" s="14">
        <f t="shared" ref="M80:P80" si="38">M65</f>
        <v>680.33296875000019</v>
      </c>
      <c r="N80" s="14">
        <f t="shared" si="38"/>
        <v>868.27198300781265</v>
      </c>
      <c r="O80" s="14">
        <f t="shared" si="38"/>
        <v>1084.0945660495609</v>
      </c>
      <c r="P80" s="14">
        <f t="shared" si="38"/>
        <v>1334.8797398795682</v>
      </c>
    </row>
    <row r="81" spans="2:16" x14ac:dyDescent="0.3">
      <c r="B81" t="s">
        <v>7</v>
      </c>
      <c r="K81" s="52"/>
      <c r="L81" s="14">
        <f>L69</f>
        <v>499.5</v>
      </c>
      <c r="M81" s="14">
        <f t="shared" ref="M81:P81" si="39">M69</f>
        <v>554.44500000000005</v>
      </c>
      <c r="N81" s="14">
        <f t="shared" si="39"/>
        <v>615.4339500000001</v>
      </c>
      <c r="O81" s="14">
        <f t="shared" si="39"/>
        <v>683.13168450000012</v>
      </c>
      <c r="P81" s="14">
        <f t="shared" si="39"/>
        <v>758.27616979500021</v>
      </c>
    </row>
    <row r="82" spans="2:16" x14ac:dyDescent="0.3">
      <c r="B82" t="s">
        <v>9</v>
      </c>
      <c r="K82" s="52"/>
      <c r="L82" s="14">
        <f>L76</f>
        <v>832.5</v>
      </c>
      <c r="M82" s="14">
        <f t="shared" ref="M82:P82" si="40">M76</f>
        <v>924.07500000000005</v>
      </c>
      <c r="N82" s="14">
        <f t="shared" si="40"/>
        <v>1025.7232500000002</v>
      </c>
      <c r="O82" s="14">
        <f t="shared" si="40"/>
        <v>1138.5528075000002</v>
      </c>
      <c r="P82" s="14">
        <f t="shared" si="40"/>
        <v>1263.7936163250004</v>
      </c>
    </row>
    <row r="83" spans="2:16" x14ac:dyDescent="0.3">
      <c r="B83" t="s">
        <v>53</v>
      </c>
      <c r="K83" s="52"/>
      <c r="L83" s="14">
        <f>L74</f>
        <v>66</v>
      </c>
      <c r="M83" s="14">
        <f t="shared" ref="M83:P83" si="41">M74</f>
        <v>73.259999999999991</v>
      </c>
      <c r="N83" s="14">
        <f t="shared" si="41"/>
        <v>81.31860000000006</v>
      </c>
      <c r="O83" s="14">
        <f t="shared" si="41"/>
        <v>90.263646000000108</v>
      </c>
      <c r="P83" s="14">
        <f t="shared" si="41"/>
        <v>100.19264706000013</v>
      </c>
    </row>
    <row r="84" spans="2:16" x14ac:dyDescent="0.3">
      <c r="B84" s="26" t="s">
        <v>52</v>
      </c>
      <c r="C84" s="27"/>
      <c r="D84" s="27"/>
      <c r="E84" s="27"/>
      <c r="F84" s="27"/>
      <c r="G84" s="27"/>
      <c r="H84" s="27"/>
      <c r="I84" s="27"/>
      <c r="J84" s="27"/>
      <c r="K84" s="56"/>
      <c r="L84" s="28">
        <f>L80+L81-L82-L83</f>
        <v>118.125</v>
      </c>
      <c r="M84" s="28">
        <f t="shared" ref="M84:P84" si="42">M80+M81-M82-M83</f>
        <v>237.44296875000009</v>
      </c>
      <c r="N84" s="28">
        <f t="shared" si="42"/>
        <v>376.66408300781245</v>
      </c>
      <c r="O84" s="28">
        <f t="shared" si="42"/>
        <v>538.40979704956067</v>
      </c>
      <c r="P84" s="33">
        <f t="shared" si="42"/>
        <v>729.16964628956816</v>
      </c>
    </row>
    <row r="85" spans="2:16" x14ac:dyDescent="0.3">
      <c r="K85" s="52"/>
    </row>
    <row r="86" spans="2:16" ht="15.6" x14ac:dyDescent="0.3">
      <c r="B86" s="4" t="s">
        <v>54</v>
      </c>
      <c r="C86" s="3"/>
      <c r="D86" s="3"/>
      <c r="E86" s="3"/>
      <c r="F86" s="3"/>
      <c r="G86" s="3"/>
      <c r="H86" s="3"/>
      <c r="I86" s="3"/>
      <c r="J86" s="3"/>
      <c r="K86" s="57"/>
      <c r="L86" s="3"/>
      <c r="M86" s="3"/>
      <c r="N86" s="3"/>
      <c r="O86" s="3"/>
      <c r="P86" s="3"/>
    </row>
    <row r="87" spans="2:16" ht="4.95" customHeight="1" x14ac:dyDescent="0.3">
      <c r="K87" s="52"/>
    </row>
    <row r="88" spans="2:16" x14ac:dyDescent="0.3">
      <c r="B88" s="6"/>
      <c r="C88" s="5"/>
      <c r="D88" s="5"/>
      <c r="E88" s="5"/>
      <c r="F88" s="5"/>
      <c r="G88" s="5"/>
      <c r="H88" s="5"/>
      <c r="I88" s="5"/>
      <c r="J88" s="5"/>
      <c r="K88" s="49">
        <v>0</v>
      </c>
      <c r="L88" s="12">
        <f>K88+1</f>
        <v>1</v>
      </c>
      <c r="M88" s="12">
        <f t="shared" ref="M88:P88" si="43">L88+1</f>
        <v>2</v>
      </c>
      <c r="N88" s="12">
        <f t="shared" si="43"/>
        <v>3</v>
      </c>
      <c r="O88" s="12">
        <f t="shared" si="43"/>
        <v>4</v>
      </c>
      <c r="P88" s="12">
        <f t="shared" si="43"/>
        <v>5</v>
      </c>
    </row>
    <row r="89" spans="2:16" x14ac:dyDescent="0.3">
      <c r="B89" s="7" t="s">
        <v>23</v>
      </c>
      <c r="K89" s="52"/>
    </row>
    <row r="90" spans="2:16" x14ac:dyDescent="0.3">
      <c r="B90" s="34" t="s">
        <v>55</v>
      </c>
      <c r="K90" s="52"/>
      <c r="L90" s="14">
        <f>K93</f>
        <v>1000</v>
      </c>
      <c r="M90" s="14">
        <f t="shared" ref="M90:P90" si="44">L93</f>
        <v>881.875</v>
      </c>
      <c r="N90" s="14">
        <f t="shared" si="44"/>
        <v>644.43203124999991</v>
      </c>
      <c r="O90" s="14">
        <f t="shared" si="44"/>
        <v>267.76794824218746</v>
      </c>
      <c r="P90" s="14">
        <f t="shared" si="44"/>
        <v>0</v>
      </c>
    </row>
    <row r="91" spans="2:16" x14ac:dyDescent="0.3">
      <c r="B91" s="34" t="s">
        <v>27</v>
      </c>
      <c r="K91" s="52"/>
      <c r="L91" s="16">
        <f>L90*$P$7</f>
        <v>85</v>
      </c>
      <c r="M91" s="16">
        <f t="shared" ref="M91:P91" si="45">M90*$P$7</f>
        <v>74.959375000000009</v>
      </c>
      <c r="N91" s="16">
        <f t="shared" si="45"/>
        <v>54.776722656249994</v>
      </c>
      <c r="O91" s="16">
        <f t="shared" si="45"/>
        <v>22.760275600585935</v>
      </c>
      <c r="P91" s="16">
        <f t="shared" si="45"/>
        <v>0</v>
      </c>
    </row>
    <row r="92" spans="2:16" x14ac:dyDescent="0.3">
      <c r="B92" s="37" t="s">
        <v>56</v>
      </c>
      <c r="C92" s="1"/>
      <c r="D92" s="1"/>
      <c r="E92" s="1"/>
      <c r="F92" s="1"/>
      <c r="G92" s="1"/>
      <c r="H92" s="1"/>
      <c r="I92" s="1"/>
      <c r="J92" s="1"/>
      <c r="K92" s="58"/>
      <c r="L92" s="21">
        <f>MIN(L84,L90)</f>
        <v>118.125</v>
      </c>
      <c r="M92" s="21">
        <f t="shared" ref="M92:P92" si="46">MIN(M84,M90)</f>
        <v>237.44296875000009</v>
      </c>
      <c r="N92" s="21">
        <f t="shared" si="46"/>
        <v>376.66408300781245</v>
      </c>
      <c r="O92" s="21">
        <f t="shared" si="46"/>
        <v>267.76794824218746</v>
      </c>
      <c r="P92" s="21">
        <f t="shared" si="46"/>
        <v>0</v>
      </c>
    </row>
    <row r="93" spans="2:16" x14ac:dyDescent="0.3">
      <c r="B93" s="35" t="s">
        <v>57</v>
      </c>
      <c r="K93" s="59">
        <f>O7</f>
        <v>1000</v>
      </c>
      <c r="L93" s="18">
        <f>L90-L92</f>
        <v>881.875</v>
      </c>
      <c r="M93" s="18">
        <f t="shared" ref="M93:P93" si="47">M90-M92</f>
        <v>644.43203124999991</v>
      </c>
      <c r="N93" s="18">
        <f t="shared" si="47"/>
        <v>267.76794824218746</v>
      </c>
      <c r="O93" s="18">
        <f t="shared" si="47"/>
        <v>0</v>
      </c>
      <c r="P93" s="18">
        <f t="shared" si="47"/>
        <v>0</v>
      </c>
    </row>
    <row r="94" spans="2:16" x14ac:dyDescent="0.3">
      <c r="K94" s="52"/>
    </row>
    <row r="95" spans="2:16" x14ac:dyDescent="0.3">
      <c r="B95" s="7" t="s">
        <v>58</v>
      </c>
      <c r="K95" s="52"/>
    </row>
    <row r="96" spans="2:16" x14ac:dyDescent="0.3">
      <c r="B96" s="34" t="s">
        <v>55</v>
      </c>
      <c r="K96" s="52"/>
      <c r="L96" s="14">
        <f>K99</f>
        <v>6500</v>
      </c>
      <c r="M96" s="14">
        <f t="shared" ref="M96:P96" si="48">L99</f>
        <v>6500</v>
      </c>
      <c r="N96" s="14">
        <f t="shared" si="48"/>
        <v>6500</v>
      </c>
      <c r="O96" s="14">
        <f t="shared" si="48"/>
        <v>6500</v>
      </c>
      <c r="P96" s="14">
        <f t="shared" si="48"/>
        <v>6229.3581511926268</v>
      </c>
    </row>
    <row r="97" spans="2:16" x14ac:dyDescent="0.3">
      <c r="B97" s="34" t="s">
        <v>27</v>
      </c>
      <c r="K97" s="52"/>
      <c r="L97" s="16">
        <f>L96*$P$8</f>
        <v>666.25</v>
      </c>
      <c r="M97" s="16">
        <f t="shared" ref="M97:P97" si="49">M96*$P$8</f>
        <v>666.25</v>
      </c>
      <c r="N97" s="16">
        <f t="shared" si="49"/>
        <v>666.25</v>
      </c>
      <c r="O97" s="16">
        <f t="shared" si="49"/>
        <v>666.25</v>
      </c>
      <c r="P97" s="16">
        <f t="shared" si="49"/>
        <v>638.50921049724423</v>
      </c>
    </row>
    <row r="98" spans="2:16" x14ac:dyDescent="0.3">
      <c r="B98" s="37" t="s">
        <v>56</v>
      </c>
      <c r="C98" s="1"/>
      <c r="D98" s="1"/>
      <c r="E98" s="1"/>
      <c r="F98" s="1"/>
      <c r="G98" s="1"/>
      <c r="H98" s="1"/>
      <c r="I98" s="1"/>
      <c r="J98" s="1"/>
      <c r="K98" s="58"/>
      <c r="L98" s="21">
        <f>MIN(L96,L84-L92)</f>
        <v>0</v>
      </c>
      <c r="M98" s="21">
        <f t="shared" ref="M98:P98" si="50">MIN(M96,M84-M92)</f>
        <v>0</v>
      </c>
      <c r="N98" s="21">
        <f t="shared" si="50"/>
        <v>0</v>
      </c>
      <c r="O98" s="21">
        <f t="shared" si="50"/>
        <v>270.64184880737321</v>
      </c>
      <c r="P98" s="21">
        <f t="shared" si="50"/>
        <v>729.16964628956816</v>
      </c>
    </row>
    <row r="99" spans="2:16" x14ac:dyDescent="0.3">
      <c r="B99" s="35" t="s">
        <v>57</v>
      </c>
      <c r="K99" s="59">
        <f>O8</f>
        <v>6500</v>
      </c>
      <c r="L99" s="18">
        <f>L96-L98</f>
        <v>6500</v>
      </c>
      <c r="M99" s="18">
        <f t="shared" ref="M99" si="51">M96-M98</f>
        <v>6500</v>
      </c>
      <c r="N99" s="18">
        <f t="shared" ref="N99" si="52">N96-N98</f>
        <v>6500</v>
      </c>
      <c r="O99" s="18">
        <f t="shared" ref="O99" si="53">O96-O98</f>
        <v>6229.3581511926268</v>
      </c>
      <c r="P99" s="18">
        <f t="shared" ref="P99" si="54">P96-P98</f>
        <v>5500.1885049030589</v>
      </c>
    </row>
    <row r="100" spans="2:16" x14ac:dyDescent="0.3">
      <c r="K100" s="52"/>
    </row>
    <row r="101" spans="2:16" x14ac:dyDescent="0.3">
      <c r="B101" s="7" t="s">
        <v>25</v>
      </c>
      <c r="K101" s="52"/>
    </row>
    <row r="102" spans="2:16" x14ac:dyDescent="0.3">
      <c r="B102" s="34" t="s">
        <v>55</v>
      </c>
      <c r="K102" s="52"/>
      <c r="L102" s="14">
        <f>K105</f>
        <v>3500</v>
      </c>
      <c r="M102" s="14">
        <f t="shared" ref="M102:P102" si="55">L105</f>
        <v>3500</v>
      </c>
      <c r="N102" s="14">
        <f t="shared" si="55"/>
        <v>3500</v>
      </c>
      <c r="O102" s="14">
        <f t="shared" si="55"/>
        <v>3500</v>
      </c>
      <c r="P102" s="14">
        <f t="shared" si="55"/>
        <v>3500</v>
      </c>
    </row>
    <row r="103" spans="2:16" x14ac:dyDescent="0.3">
      <c r="B103" s="34" t="s">
        <v>27</v>
      </c>
      <c r="K103" s="52"/>
      <c r="L103" s="16">
        <f>L102*$P$9</f>
        <v>446.25</v>
      </c>
      <c r="M103" s="16">
        <f t="shared" ref="M103:P103" si="56">M102*$P$9</f>
        <v>446.25</v>
      </c>
      <c r="N103" s="16">
        <f t="shared" si="56"/>
        <v>446.25</v>
      </c>
      <c r="O103" s="16">
        <f t="shared" si="56"/>
        <v>446.25</v>
      </c>
      <c r="P103" s="16">
        <f t="shared" si="56"/>
        <v>446.25</v>
      </c>
    </row>
    <row r="104" spans="2:16" x14ac:dyDescent="0.3">
      <c r="B104" s="37" t="s">
        <v>56</v>
      </c>
      <c r="C104" s="1"/>
      <c r="D104" s="1"/>
      <c r="E104" s="1"/>
      <c r="F104" s="1"/>
      <c r="G104" s="1"/>
      <c r="H104" s="1"/>
      <c r="I104" s="1"/>
      <c r="J104" s="1"/>
      <c r="K104" s="58"/>
      <c r="L104" s="21">
        <f>MIN(L102,L84-L92-L98)</f>
        <v>0</v>
      </c>
      <c r="M104" s="21">
        <f t="shared" ref="M104:P104" si="57">MIN(M102,M84-M92-M98)</f>
        <v>0</v>
      </c>
      <c r="N104" s="21">
        <f t="shared" si="57"/>
        <v>0</v>
      </c>
      <c r="O104" s="21">
        <f t="shared" si="57"/>
        <v>0</v>
      </c>
      <c r="P104" s="21">
        <f t="shared" si="57"/>
        <v>0</v>
      </c>
    </row>
    <row r="105" spans="2:16" x14ac:dyDescent="0.3">
      <c r="B105" s="35" t="s">
        <v>57</v>
      </c>
      <c r="K105" s="59">
        <f>O9</f>
        <v>3500</v>
      </c>
      <c r="L105" s="18">
        <f>L102-L104</f>
        <v>3500</v>
      </c>
      <c r="M105" s="18">
        <f t="shared" ref="M105:P105" si="58">M102-M104</f>
        <v>3500</v>
      </c>
      <c r="N105" s="18">
        <f t="shared" si="58"/>
        <v>3500</v>
      </c>
      <c r="O105" s="18">
        <f t="shared" si="58"/>
        <v>3500</v>
      </c>
      <c r="P105" s="18">
        <f t="shared" si="58"/>
        <v>3500</v>
      </c>
    </row>
    <row r="106" spans="2:16" x14ac:dyDescent="0.3">
      <c r="K106" s="52"/>
    </row>
    <row r="107" spans="2:16" x14ac:dyDescent="0.3">
      <c r="B107" s="7" t="s">
        <v>59</v>
      </c>
      <c r="K107" s="52"/>
    </row>
    <row r="108" spans="2:16" x14ac:dyDescent="0.3">
      <c r="B108" s="34" t="s">
        <v>55</v>
      </c>
      <c r="K108" s="52"/>
      <c r="L108" s="13">
        <f>L90+L96+L102</f>
        <v>11000</v>
      </c>
      <c r="M108" s="13">
        <f t="shared" ref="M108:P108" si="59">M90+M96+M102</f>
        <v>10881.875</v>
      </c>
      <c r="N108" s="13">
        <f t="shared" si="59"/>
        <v>10644.43203125</v>
      </c>
      <c r="O108" s="13">
        <f t="shared" si="59"/>
        <v>10267.767948242188</v>
      </c>
      <c r="P108" s="13">
        <f t="shared" si="59"/>
        <v>9729.3581511926277</v>
      </c>
    </row>
    <row r="109" spans="2:16" x14ac:dyDescent="0.3">
      <c r="B109" s="34" t="s">
        <v>27</v>
      </c>
      <c r="K109" s="52"/>
      <c r="L109" s="13">
        <f t="shared" ref="L109:P111" si="60">L91+L97+L103</f>
        <v>1197.5</v>
      </c>
      <c r="M109" s="13">
        <f t="shared" si="60"/>
        <v>1187.4593749999999</v>
      </c>
      <c r="N109" s="13">
        <f t="shared" si="60"/>
        <v>1167.2767226562501</v>
      </c>
      <c r="O109" s="13">
        <f t="shared" si="60"/>
        <v>1135.2602756005858</v>
      </c>
      <c r="P109" s="13">
        <f t="shared" si="60"/>
        <v>1084.7592104972441</v>
      </c>
    </row>
    <row r="110" spans="2:16" x14ac:dyDescent="0.3">
      <c r="B110" s="37" t="s">
        <v>56</v>
      </c>
      <c r="C110" s="1"/>
      <c r="D110" s="1"/>
      <c r="E110" s="1"/>
      <c r="F110" s="1"/>
      <c r="G110" s="1"/>
      <c r="H110" s="1"/>
      <c r="I110" s="1"/>
      <c r="J110" s="1"/>
      <c r="K110" s="58"/>
      <c r="L110" s="21">
        <f t="shared" si="60"/>
        <v>118.125</v>
      </c>
      <c r="M110" s="21">
        <f t="shared" si="60"/>
        <v>237.44296875000009</v>
      </c>
      <c r="N110" s="21">
        <f t="shared" si="60"/>
        <v>376.66408300781245</v>
      </c>
      <c r="O110" s="21">
        <f t="shared" si="60"/>
        <v>538.40979704956067</v>
      </c>
      <c r="P110" s="21">
        <f t="shared" si="60"/>
        <v>729.16964628956816</v>
      </c>
    </row>
    <row r="111" spans="2:16" x14ac:dyDescent="0.3">
      <c r="B111" s="35" t="s">
        <v>57</v>
      </c>
      <c r="C111" s="7"/>
      <c r="D111" s="7"/>
      <c r="E111" s="7"/>
      <c r="F111" s="7"/>
      <c r="G111" s="7"/>
      <c r="H111" s="7"/>
      <c r="I111" s="7"/>
      <c r="J111" s="7"/>
      <c r="K111" s="60">
        <f>K93+K99+K105</f>
        <v>11000</v>
      </c>
      <c r="L111" s="18">
        <f t="shared" si="60"/>
        <v>10881.875</v>
      </c>
      <c r="M111" s="18">
        <f t="shared" si="60"/>
        <v>10644.43203125</v>
      </c>
      <c r="N111" s="18">
        <f t="shared" si="60"/>
        <v>10267.767948242188</v>
      </c>
      <c r="O111" s="18">
        <f t="shared" si="60"/>
        <v>9729.3581511926277</v>
      </c>
      <c r="P111" s="18">
        <f t="shared" si="60"/>
        <v>9000.1885049030589</v>
      </c>
    </row>
    <row r="113" spans="2:16" ht="15.6" x14ac:dyDescent="0.3">
      <c r="B113" s="4" t="s">
        <v>60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2:16" ht="4.95" customHeight="1" x14ac:dyDescent="0.3">
      <c r="B114" s="24"/>
    </row>
    <row r="115" spans="2:16" x14ac:dyDescent="0.3">
      <c r="B115" t="s">
        <v>61</v>
      </c>
      <c r="P115" s="14">
        <f>P54</f>
        <v>3622.8750334650022</v>
      </c>
    </row>
    <row r="116" spans="2:16" x14ac:dyDescent="0.3">
      <c r="B116" s="1" t="s">
        <v>21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9">
        <f>J16</f>
        <v>18</v>
      </c>
    </row>
    <row r="117" spans="2:16" x14ac:dyDescent="0.3">
      <c r="B117" t="s">
        <v>15</v>
      </c>
      <c r="P117" s="13">
        <f>P115*P116</f>
        <v>65211.750602370041</v>
      </c>
    </row>
    <row r="118" spans="2:16" x14ac:dyDescent="0.3">
      <c r="B118" t="s">
        <v>62</v>
      </c>
      <c r="P118" s="13">
        <f>P111</f>
        <v>9000.1885049030589</v>
      </c>
    </row>
    <row r="119" spans="2:16" x14ac:dyDescent="0.3">
      <c r="B119" s="26" t="s">
        <v>63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33">
        <f>P117-P118</f>
        <v>56211.56209746698</v>
      </c>
    </row>
    <row r="121" spans="2:16" x14ac:dyDescent="0.3">
      <c r="B121" t="s">
        <v>64</v>
      </c>
      <c r="P121" s="13">
        <f>E28</f>
        <v>27880</v>
      </c>
    </row>
    <row r="123" spans="2:16" x14ac:dyDescent="0.3">
      <c r="B123" s="40" t="s">
        <v>65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2">
        <f>P119/P121</f>
        <v>2.0161966319034068</v>
      </c>
    </row>
    <row r="124" spans="2:16" x14ac:dyDescent="0.3">
      <c r="B124" s="43" t="s">
        <v>60</v>
      </c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5">
        <f>P123^(1/5)-1</f>
        <v>0.15055286177738259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Shivam Raj</cp:lastModifiedBy>
  <dcterms:created xsi:type="dcterms:W3CDTF">2024-06-13T22:17:00Z</dcterms:created>
  <dcterms:modified xsi:type="dcterms:W3CDTF">2026-02-06T06:08:08Z</dcterms:modified>
</cp:coreProperties>
</file>